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navarro/Downloads/"/>
    </mc:Choice>
  </mc:AlternateContent>
  <xr:revisionPtr revIDLastSave="0" documentId="8_{7A78CAEA-7418-FF4B-BF99-8F877A05128D}" xr6:coauthVersionLast="47" xr6:coauthVersionMax="47" xr10:uidLastSave="{00000000-0000-0000-0000-000000000000}"/>
  <bookViews>
    <workbookView xWindow="0" yWindow="680" windowWidth="34200" windowHeight="21460" xr2:uid="{1616E49B-7DD5-7B48-83C9-A7E076AEE3F1}"/>
  </bookViews>
  <sheets>
    <sheet name="XOM" sheetId="1" r:id="rId1"/>
    <sheet name="CVX" sheetId="2" r:id="rId2"/>
    <sheet name="USO" sheetId="3" r:id="rId3"/>
    <sheet name="Close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5" i="5" l="1"/>
  <c r="E255" i="5"/>
  <c r="G253" i="5"/>
  <c r="G254" i="5" s="1"/>
  <c r="F254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" i="5"/>
  <c r="E257" i="5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" i="5"/>
  <c r="E254" i="5" s="1"/>
  <c r="I201" i="2"/>
  <c r="I138" i="2"/>
  <c r="I74" i="2"/>
  <c r="I14" i="2"/>
  <c r="I203" i="1"/>
  <c r="I140" i="1"/>
  <c r="I76" i="1"/>
  <c r="I16" i="1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3" i="2"/>
  <c r="I4" i="2"/>
  <c r="I5" i="2"/>
  <c r="I6" i="2"/>
  <c r="I7" i="2"/>
  <c r="I8" i="2"/>
  <c r="I9" i="2"/>
  <c r="I10" i="2"/>
  <c r="I11" i="2"/>
  <c r="I12" i="2"/>
  <c r="I13" i="2"/>
  <c r="I15" i="2"/>
  <c r="I16" i="2"/>
  <c r="I17" i="2"/>
  <c r="I18" i="2"/>
  <c r="I19" i="2"/>
  <c r="I20" i="2"/>
  <c r="I21" i="2"/>
  <c r="I22" i="2"/>
  <c r="I23" i="2"/>
  <c r="I2" i="2"/>
  <c r="I3" i="1"/>
  <c r="I2" i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K2" i="3"/>
  <c r="K2" i="2"/>
  <c r="K2" i="1"/>
  <c r="J2" i="1"/>
  <c r="J2" i="2"/>
  <c r="J2" i="3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4" i="1"/>
  <c r="I5" i="1"/>
  <c r="I6" i="1"/>
  <c r="I7" i="1"/>
  <c r="I8" i="1"/>
  <c r="I9" i="1"/>
  <c r="I10" i="1"/>
  <c r="I11" i="1"/>
  <c r="I12" i="1"/>
  <c r="I13" i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F255" i="5" l="1"/>
  <c r="E256" i="5"/>
</calcChain>
</file>

<file path=xl/sharedStrings.xml><?xml version="1.0" encoding="utf-8"?>
<sst xmlns="http://schemas.openxmlformats.org/spreadsheetml/2006/main" count="41" uniqueCount="19">
  <si>
    <t>Date</t>
  </si>
  <si>
    <t>Open</t>
  </si>
  <si>
    <t>High</t>
  </si>
  <si>
    <t>Low</t>
  </si>
  <si>
    <t>Close</t>
  </si>
  <si>
    <t>Adj Close</t>
  </si>
  <si>
    <t>Volume</t>
  </si>
  <si>
    <t>Daily % Returns</t>
  </si>
  <si>
    <t>Average Daily Return</t>
  </si>
  <si>
    <t>Volatility</t>
  </si>
  <si>
    <t>XOM Return</t>
  </si>
  <si>
    <t>XOM</t>
  </si>
  <si>
    <t>CVX</t>
  </si>
  <si>
    <t>USO</t>
  </si>
  <si>
    <t>CVX Return</t>
  </si>
  <si>
    <t>USO Return</t>
  </si>
  <si>
    <t>Average</t>
  </si>
  <si>
    <t>XOM and USO</t>
  </si>
  <si>
    <t>CVX and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</si>
</sst>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XOM</a:t>
            </a:r>
            <a:r>
              <a:rPr lang="en-US" baseline="0"/>
              <a:t> Adjusted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Close1!$A$2:$A$253</c:f>
              <c:numCache>
                <c:formatCode>d\-mmm\-yy</c:formatCode>
                <c:ptCount val="252"/>
                <c:pt idx="0">
                  <c:v>46087</c:v>
                </c:pt>
                <c:pt idx="1">
                  <c:v>46086</c:v>
                </c:pt>
                <c:pt idx="2">
                  <c:v>46085</c:v>
                </c:pt>
                <c:pt idx="3">
                  <c:v>46084</c:v>
                </c:pt>
                <c:pt idx="4">
                  <c:v>46083</c:v>
                </c:pt>
                <c:pt idx="5">
                  <c:v>46080</c:v>
                </c:pt>
                <c:pt idx="6">
                  <c:v>46079</c:v>
                </c:pt>
                <c:pt idx="7">
                  <c:v>46078</c:v>
                </c:pt>
                <c:pt idx="8">
                  <c:v>46077</c:v>
                </c:pt>
                <c:pt idx="9">
                  <c:v>46076</c:v>
                </c:pt>
                <c:pt idx="10">
                  <c:v>46073</c:v>
                </c:pt>
                <c:pt idx="11">
                  <c:v>46072</c:v>
                </c:pt>
                <c:pt idx="12">
                  <c:v>46071</c:v>
                </c:pt>
                <c:pt idx="13">
                  <c:v>46070</c:v>
                </c:pt>
                <c:pt idx="14">
                  <c:v>46066</c:v>
                </c:pt>
                <c:pt idx="15">
                  <c:v>46065</c:v>
                </c:pt>
                <c:pt idx="16">
                  <c:v>46064</c:v>
                </c:pt>
                <c:pt idx="17">
                  <c:v>46063</c:v>
                </c:pt>
                <c:pt idx="18">
                  <c:v>46062</c:v>
                </c:pt>
                <c:pt idx="19">
                  <c:v>46059</c:v>
                </c:pt>
                <c:pt idx="20">
                  <c:v>46058</c:v>
                </c:pt>
                <c:pt idx="21">
                  <c:v>46057</c:v>
                </c:pt>
                <c:pt idx="22">
                  <c:v>46056</c:v>
                </c:pt>
                <c:pt idx="23">
                  <c:v>46055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46048</c:v>
                </c:pt>
                <c:pt idx="29">
                  <c:v>46045</c:v>
                </c:pt>
                <c:pt idx="30">
                  <c:v>46044</c:v>
                </c:pt>
                <c:pt idx="31">
                  <c:v>46043</c:v>
                </c:pt>
                <c:pt idx="32">
                  <c:v>46042</c:v>
                </c:pt>
                <c:pt idx="33">
                  <c:v>46038</c:v>
                </c:pt>
                <c:pt idx="34">
                  <c:v>46037</c:v>
                </c:pt>
                <c:pt idx="35">
                  <c:v>46036</c:v>
                </c:pt>
                <c:pt idx="36">
                  <c:v>46035</c:v>
                </c:pt>
                <c:pt idx="37">
                  <c:v>46034</c:v>
                </c:pt>
                <c:pt idx="38">
                  <c:v>46031</c:v>
                </c:pt>
                <c:pt idx="39">
                  <c:v>46030</c:v>
                </c:pt>
                <c:pt idx="40">
                  <c:v>46029</c:v>
                </c:pt>
                <c:pt idx="41">
                  <c:v>46028</c:v>
                </c:pt>
                <c:pt idx="42">
                  <c:v>46027</c:v>
                </c:pt>
                <c:pt idx="43">
                  <c:v>46024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45987</c:v>
                </c:pt>
                <c:pt idx="68">
                  <c:v>45986</c:v>
                </c:pt>
                <c:pt idx="69">
                  <c:v>45985</c:v>
                </c:pt>
                <c:pt idx="70">
                  <c:v>45982</c:v>
                </c:pt>
                <c:pt idx="71">
                  <c:v>45981</c:v>
                </c:pt>
                <c:pt idx="72">
                  <c:v>45980</c:v>
                </c:pt>
                <c:pt idx="73">
                  <c:v>45979</c:v>
                </c:pt>
                <c:pt idx="74">
                  <c:v>45978</c:v>
                </c:pt>
                <c:pt idx="75">
                  <c:v>45975</c:v>
                </c:pt>
                <c:pt idx="76">
                  <c:v>45974</c:v>
                </c:pt>
                <c:pt idx="77">
                  <c:v>45973</c:v>
                </c:pt>
                <c:pt idx="78">
                  <c:v>45972</c:v>
                </c:pt>
                <c:pt idx="79">
                  <c:v>45971</c:v>
                </c:pt>
                <c:pt idx="80">
                  <c:v>45968</c:v>
                </c:pt>
                <c:pt idx="81">
                  <c:v>45967</c:v>
                </c:pt>
                <c:pt idx="82">
                  <c:v>45966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45952</c:v>
                </c:pt>
                <c:pt idx="93">
                  <c:v>45951</c:v>
                </c:pt>
                <c:pt idx="94">
                  <c:v>45950</c:v>
                </c:pt>
                <c:pt idx="95">
                  <c:v>45947</c:v>
                </c:pt>
                <c:pt idx="96">
                  <c:v>45946</c:v>
                </c:pt>
                <c:pt idx="97">
                  <c:v>45945</c:v>
                </c:pt>
                <c:pt idx="98">
                  <c:v>45944</c:v>
                </c:pt>
                <c:pt idx="99">
                  <c:v>45943</c:v>
                </c:pt>
                <c:pt idx="100">
                  <c:v>45940</c:v>
                </c:pt>
                <c:pt idx="101">
                  <c:v>45939</c:v>
                </c:pt>
                <c:pt idx="102">
                  <c:v>45938</c:v>
                </c:pt>
                <c:pt idx="103">
                  <c:v>45937</c:v>
                </c:pt>
                <c:pt idx="104">
                  <c:v>45936</c:v>
                </c:pt>
                <c:pt idx="105">
                  <c:v>45933</c:v>
                </c:pt>
                <c:pt idx="106">
                  <c:v>45932</c:v>
                </c:pt>
                <c:pt idx="107">
                  <c:v>45931</c:v>
                </c:pt>
                <c:pt idx="108">
                  <c:v>45930</c:v>
                </c:pt>
                <c:pt idx="109">
                  <c:v>45929</c:v>
                </c:pt>
                <c:pt idx="110">
                  <c:v>45926</c:v>
                </c:pt>
                <c:pt idx="111">
                  <c:v>45925</c:v>
                </c:pt>
                <c:pt idx="112">
                  <c:v>45924</c:v>
                </c:pt>
                <c:pt idx="113">
                  <c:v>45923</c:v>
                </c:pt>
                <c:pt idx="114">
                  <c:v>45922</c:v>
                </c:pt>
                <c:pt idx="115">
                  <c:v>45919</c:v>
                </c:pt>
                <c:pt idx="116">
                  <c:v>45918</c:v>
                </c:pt>
                <c:pt idx="117">
                  <c:v>45917</c:v>
                </c:pt>
                <c:pt idx="118">
                  <c:v>45916</c:v>
                </c:pt>
                <c:pt idx="119">
                  <c:v>45915</c:v>
                </c:pt>
                <c:pt idx="120">
                  <c:v>45912</c:v>
                </c:pt>
                <c:pt idx="121">
                  <c:v>45911</c:v>
                </c:pt>
                <c:pt idx="122">
                  <c:v>45910</c:v>
                </c:pt>
                <c:pt idx="123">
                  <c:v>45909</c:v>
                </c:pt>
                <c:pt idx="124">
                  <c:v>45908</c:v>
                </c:pt>
                <c:pt idx="125">
                  <c:v>45905</c:v>
                </c:pt>
                <c:pt idx="126">
                  <c:v>45904</c:v>
                </c:pt>
                <c:pt idx="127">
                  <c:v>45903</c:v>
                </c:pt>
                <c:pt idx="128">
                  <c:v>45902</c:v>
                </c:pt>
                <c:pt idx="129">
                  <c:v>45898</c:v>
                </c:pt>
                <c:pt idx="130">
                  <c:v>45897</c:v>
                </c:pt>
                <c:pt idx="131">
                  <c:v>45896</c:v>
                </c:pt>
                <c:pt idx="132">
                  <c:v>45895</c:v>
                </c:pt>
                <c:pt idx="133">
                  <c:v>45894</c:v>
                </c:pt>
                <c:pt idx="134">
                  <c:v>45891</c:v>
                </c:pt>
                <c:pt idx="135">
                  <c:v>45890</c:v>
                </c:pt>
                <c:pt idx="136">
                  <c:v>45889</c:v>
                </c:pt>
                <c:pt idx="137">
                  <c:v>45888</c:v>
                </c:pt>
                <c:pt idx="138">
                  <c:v>45887</c:v>
                </c:pt>
                <c:pt idx="139">
                  <c:v>45884</c:v>
                </c:pt>
                <c:pt idx="140">
                  <c:v>45883</c:v>
                </c:pt>
                <c:pt idx="141">
                  <c:v>45882</c:v>
                </c:pt>
                <c:pt idx="142">
                  <c:v>45881</c:v>
                </c:pt>
                <c:pt idx="143">
                  <c:v>45880</c:v>
                </c:pt>
                <c:pt idx="144">
                  <c:v>45877</c:v>
                </c:pt>
                <c:pt idx="145">
                  <c:v>45876</c:v>
                </c:pt>
                <c:pt idx="146">
                  <c:v>45875</c:v>
                </c:pt>
                <c:pt idx="147">
                  <c:v>45874</c:v>
                </c:pt>
                <c:pt idx="148">
                  <c:v>45873</c:v>
                </c:pt>
                <c:pt idx="149">
                  <c:v>45870</c:v>
                </c:pt>
                <c:pt idx="150">
                  <c:v>45869</c:v>
                </c:pt>
                <c:pt idx="151">
                  <c:v>45868</c:v>
                </c:pt>
                <c:pt idx="152">
                  <c:v>45867</c:v>
                </c:pt>
                <c:pt idx="153">
                  <c:v>45866</c:v>
                </c:pt>
                <c:pt idx="154">
                  <c:v>45863</c:v>
                </c:pt>
                <c:pt idx="155">
                  <c:v>45862</c:v>
                </c:pt>
                <c:pt idx="156">
                  <c:v>45861</c:v>
                </c:pt>
                <c:pt idx="157">
                  <c:v>45860</c:v>
                </c:pt>
                <c:pt idx="158">
                  <c:v>45859</c:v>
                </c:pt>
                <c:pt idx="159">
                  <c:v>45856</c:v>
                </c:pt>
                <c:pt idx="160">
                  <c:v>45855</c:v>
                </c:pt>
                <c:pt idx="161">
                  <c:v>45854</c:v>
                </c:pt>
                <c:pt idx="162">
                  <c:v>45853</c:v>
                </c:pt>
                <c:pt idx="163">
                  <c:v>45852</c:v>
                </c:pt>
                <c:pt idx="164">
                  <c:v>45849</c:v>
                </c:pt>
                <c:pt idx="165">
                  <c:v>45848</c:v>
                </c:pt>
                <c:pt idx="166">
                  <c:v>45847</c:v>
                </c:pt>
                <c:pt idx="167">
                  <c:v>45846</c:v>
                </c:pt>
                <c:pt idx="168">
                  <c:v>45845</c:v>
                </c:pt>
                <c:pt idx="169">
                  <c:v>45841</c:v>
                </c:pt>
                <c:pt idx="170">
                  <c:v>45840</c:v>
                </c:pt>
                <c:pt idx="171">
                  <c:v>45839</c:v>
                </c:pt>
                <c:pt idx="172">
                  <c:v>45838</c:v>
                </c:pt>
                <c:pt idx="173">
                  <c:v>45835</c:v>
                </c:pt>
                <c:pt idx="174">
                  <c:v>45834</c:v>
                </c:pt>
                <c:pt idx="175">
                  <c:v>45833</c:v>
                </c:pt>
                <c:pt idx="176">
                  <c:v>45832</c:v>
                </c:pt>
                <c:pt idx="177">
                  <c:v>45831</c:v>
                </c:pt>
                <c:pt idx="178">
                  <c:v>45828</c:v>
                </c:pt>
                <c:pt idx="179">
                  <c:v>45826</c:v>
                </c:pt>
                <c:pt idx="180">
                  <c:v>45825</c:v>
                </c:pt>
                <c:pt idx="181">
                  <c:v>45824</c:v>
                </c:pt>
                <c:pt idx="182">
                  <c:v>45821</c:v>
                </c:pt>
                <c:pt idx="183">
                  <c:v>45820</c:v>
                </c:pt>
                <c:pt idx="184">
                  <c:v>45819</c:v>
                </c:pt>
                <c:pt idx="185">
                  <c:v>45818</c:v>
                </c:pt>
                <c:pt idx="186">
                  <c:v>45817</c:v>
                </c:pt>
                <c:pt idx="187">
                  <c:v>45814</c:v>
                </c:pt>
                <c:pt idx="188">
                  <c:v>45813</c:v>
                </c:pt>
                <c:pt idx="189">
                  <c:v>45812</c:v>
                </c:pt>
                <c:pt idx="190">
                  <c:v>45811</c:v>
                </c:pt>
                <c:pt idx="191">
                  <c:v>45810</c:v>
                </c:pt>
                <c:pt idx="192">
                  <c:v>45807</c:v>
                </c:pt>
                <c:pt idx="193">
                  <c:v>45806</c:v>
                </c:pt>
                <c:pt idx="194">
                  <c:v>45805</c:v>
                </c:pt>
                <c:pt idx="195">
                  <c:v>45804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45778</c:v>
                </c:pt>
                <c:pt idx="213">
                  <c:v>45777</c:v>
                </c:pt>
                <c:pt idx="214">
                  <c:v>45776</c:v>
                </c:pt>
                <c:pt idx="215">
                  <c:v>45775</c:v>
                </c:pt>
                <c:pt idx="216">
                  <c:v>45772</c:v>
                </c:pt>
                <c:pt idx="217">
                  <c:v>45771</c:v>
                </c:pt>
                <c:pt idx="218">
                  <c:v>45770</c:v>
                </c:pt>
                <c:pt idx="219">
                  <c:v>45769</c:v>
                </c:pt>
                <c:pt idx="220">
                  <c:v>45768</c:v>
                </c:pt>
                <c:pt idx="221">
                  <c:v>45764</c:v>
                </c:pt>
                <c:pt idx="222">
                  <c:v>45763</c:v>
                </c:pt>
                <c:pt idx="223">
                  <c:v>45762</c:v>
                </c:pt>
                <c:pt idx="224">
                  <c:v>45761</c:v>
                </c:pt>
                <c:pt idx="225">
                  <c:v>45758</c:v>
                </c:pt>
                <c:pt idx="226">
                  <c:v>45757</c:v>
                </c:pt>
                <c:pt idx="227">
                  <c:v>45756</c:v>
                </c:pt>
                <c:pt idx="228">
                  <c:v>45755</c:v>
                </c:pt>
                <c:pt idx="229">
                  <c:v>45754</c:v>
                </c:pt>
                <c:pt idx="230">
                  <c:v>45751</c:v>
                </c:pt>
                <c:pt idx="231">
                  <c:v>45750</c:v>
                </c:pt>
                <c:pt idx="232">
                  <c:v>45749</c:v>
                </c:pt>
                <c:pt idx="233">
                  <c:v>45748</c:v>
                </c:pt>
                <c:pt idx="234">
                  <c:v>45747</c:v>
                </c:pt>
                <c:pt idx="235">
                  <c:v>45744</c:v>
                </c:pt>
                <c:pt idx="236">
                  <c:v>45743</c:v>
                </c:pt>
                <c:pt idx="237">
                  <c:v>45742</c:v>
                </c:pt>
                <c:pt idx="238">
                  <c:v>45741</c:v>
                </c:pt>
                <c:pt idx="239">
                  <c:v>45740</c:v>
                </c:pt>
                <c:pt idx="240">
                  <c:v>45737</c:v>
                </c:pt>
                <c:pt idx="241">
                  <c:v>45736</c:v>
                </c:pt>
                <c:pt idx="242">
                  <c:v>45735</c:v>
                </c:pt>
                <c:pt idx="243">
                  <c:v>45734</c:v>
                </c:pt>
                <c:pt idx="244">
                  <c:v>45733</c:v>
                </c:pt>
                <c:pt idx="245">
                  <c:v>45730</c:v>
                </c:pt>
                <c:pt idx="246">
                  <c:v>45729</c:v>
                </c:pt>
                <c:pt idx="247">
                  <c:v>45728</c:v>
                </c:pt>
                <c:pt idx="248">
                  <c:v>45727</c:v>
                </c:pt>
                <c:pt idx="249">
                  <c:v>45726</c:v>
                </c:pt>
                <c:pt idx="250">
                  <c:v>45723</c:v>
                </c:pt>
                <c:pt idx="251">
                  <c:v>45722</c:v>
                </c:pt>
              </c:numCache>
            </c:numRef>
          </c:cat>
          <c:val>
            <c:numRef>
              <c:f>Close1!$B$2:$B$253</c:f>
              <c:numCache>
                <c:formatCode>General</c:formatCode>
                <c:ptCount val="252"/>
                <c:pt idx="0">
                  <c:v>151.9</c:v>
                </c:pt>
                <c:pt idx="1">
                  <c:v>150.76</c:v>
                </c:pt>
                <c:pt idx="2">
                  <c:v>149.82</c:v>
                </c:pt>
                <c:pt idx="3">
                  <c:v>151.83000000000001</c:v>
                </c:pt>
                <c:pt idx="4">
                  <c:v>154.22</c:v>
                </c:pt>
                <c:pt idx="5">
                  <c:v>152.5</c:v>
                </c:pt>
                <c:pt idx="6">
                  <c:v>148.54</c:v>
                </c:pt>
                <c:pt idx="7">
                  <c:v>149.06</c:v>
                </c:pt>
                <c:pt idx="8">
                  <c:v>149.26</c:v>
                </c:pt>
                <c:pt idx="9">
                  <c:v>150.76</c:v>
                </c:pt>
                <c:pt idx="10">
                  <c:v>147.28</c:v>
                </c:pt>
                <c:pt idx="11">
                  <c:v>150.97</c:v>
                </c:pt>
                <c:pt idx="12">
                  <c:v>150.68</c:v>
                </c:pt>
                <c:pt idx="13">
                  <c:v>146.19</c:v>
                </c:pt>
                <c:pt idx="14">
                  <c:v>148.44999999999999</c:v>
                </c:pt>
                <c:pt idx="15">
                  <c:v>149.93</c:v>
                </c:pt>
                <c:pt idx="16">
                  <c:v>154.53</c:v>
                </c:pt>
                <c:pt idx="17">
                  <c:v>150.59</c:v>
                </c:pt>
                <c:pt idx="18">
                  <c:v>150.21</c:v>
                </c:pt>
                <c:pt idx="19">
                  <c:v>148.06</c:v>
                </c:pt>
                <c:pt idx="20">
                  <c:v>145.11000000000001</c:v>
                </c:pt>
                <c:pt idx="21">
                  <c:v>146.61000000000001</c:v>
                </c:pt>
                <c:pt idx="22">
                  <c:v>142.78</c:v>
                </c:pt>
                <c:pt idx="23">
                  <c:v>137.47999999999999</c:v>
                </c:pt>
                <c:pt idx="24">
                  <c:v>140.46</c:v>
                </c:pt>
                <c:pt idx="25">
                  <c:v>139.58000000000001</c:v>
                </c:pt>
                <c:pt idx="26">
                  <c:v>136.66999999999999</c:v>
                </c:pt>
                <c:pt idx="27">
                  <c:v>135.91999999999999</c:v>
                </c:pt>
                <c:pt idx="28">
                  <c:v>133.94999999999999</c:v>
                </c:pt>
                <c:pt idx="29">
                  <c:v>134.08000000000001</c:v>
                </c:pt>
                <c:pt idx="30">
                  <c:v>132.76</c:v>
                </c:pt>
                <c:pt idx="31">
                  <c:v>132.72999999999999</c:v>
                </c:pt>
                <c:pt idx="32">
                  <c:v>129.6</c:v>
                </c:pt>
                <c:pt idx="33">
                  <c:v>129.03</c:v>
                </c:pt>
                <c:pt idx="34">
                  <c:v>128.28</c:v>
                </c:pt>
                <c:pt idx="35">
                  <c:v>129.34</c:v>
                </c:pt>
                <c:pt idx="36">
                  <c:v>125.7</c:v>
                </c:pt>
                <c:pt idx="37">
                  <c:v>123.21</c:v>
                </c:pt>
                <c:pt idx="38">
                  <c:v>123.78</c:v>
                </c:pt>
                <c:pt idx="39">
                  <c:v>122.1</c:v>
                </c:pt>
                <c:pt idx="40">
                  <c:v>117.71</c:v>
                </c:pt>
                <c:pt idx="41">
                  <c:v>120.25</c:v>
                </c:pt>
                <c:pt idx="42">
                  <c:v>124.53</c:v>
                </c:pt>
                <c:pt idx="43">
                  <c:v>121.84</c:v>
                </c:pt>
                <c:pt idx="44">
                  <c:v>119.54</c:v>
                </c:pt>
                <c:pt idx="45">
                  <c:v>120.19</c:v>
                </c:pt>
                <c:pt idx="46">
                  <c:v>119.73</c:v>
                </c:pt>
                <c:pt idx="47">
                  <c:v>118.32</c:v>
                </c:pt>
                <c:pt idx="48">
                  <c:v>118.43</c:v>
                </c:pt>
                <c:pt idx="49">
                  <c:v>118.63</c:v>
                </c:pt>
                <c:pt idx="50">
                  <c:v>117.37</c:v>
                </c:pt>
                <c:pt idx="51">
                  <c:v>115.92</c:v>
                </c:pt>
                <c:pt idx="52">
                  <c:v>115.77</c:v>
                </c:pt>
                <c:pt idx="53">
                  <c:v>116.63</c:v>
                </c:pt>
                <c:pt idx="54">
                  <c:v>113.92</c:v>
                </c:pt>
                <c:pt idx="55">
                  <c:v>116.98</c:v>
                </c:pt>
                <c:pt idx="56">
                  <c:v>118.03</c:v>
                </c:pt>
                <c:pt idx="57">
                  <c:v>118.75</c:v>
                </c:pt>
                <c:pt idx="58">
                  <c:v>118.75</c:v>
                </c:pt>
                <c:pt idx="59">
                  <c:v>117.47</c:v>
                </c:pt>
                <c:pt idx="60">
                  <c:v>115.21</c:v>
                </c:pt>
                <c:pt idx="61">
                  <c:v>115.77</c:v>
                </c:pt>
                <c:pt idx="62">
                  <c:v>116.36</c:v>
                </c:pt>
                <c:pt idx="63">
                  <c:v>117.02</c:v>
                </c:pt>
                <c:pt idx="64">
                  <c:v>114.62</c:v>
                </c:pt>
                <c:pt idx="65">
                  <c:v>115.86</c:v>
                </c:pt>
                <c:pt idx="66">
                  <c:v>115.15</c:v>
                </c:pt>
                <c:pt idx="67">
                  <c:v>114.01</c:v>
                </c:pt>
                <c:pt idx="68">
                  <c:v>113.75</c:v>
                </c:pt>
                <c:pt idx="69">
                  <c:v>115.2</c:v>
                </c:pt>
                <c:pt idx="70">
                  <c:v>116.3</c:v>
                </c:pt>
                <c:pt idx="71">
                  <c:v>116.25</c:v>
                </c:pt>
                <c:pt idx="72">
                  <c:v>116.57</c:v>
                </c:pt>
                <c:pt idx="73">
                  <c:v>118.24</c:v>
                </c:pt>
                <c:pt idx="74">
                  <c:v>116.9</c:v>
                </c:pt>
                <c:pt idx="75">
                  <c:v>118.5</c:v>
                </c:pt>
                <c:pt idx="76">
                  <c:v>116.98</c:v>
                </c:pt>
                <c:pt idx="77">
                  <c:v>116.32</c:v>
                </c:pt>
                <c:pt idx="78">
                  <c:v>117.96</c:v>
                </c:pt>
                <c:pt idx="79">
                  <c:v>116.42</c:v>
                </c:pt>
                <c:pt idx="80">
                  <c:v>115.43</c:v>
                </c:pt>
                <c:pt idx="81">
                  <c:v>112.76</c:v>
                </c:pt>
                <c:pt idx="82">
                  <c:v>111.95</c:v>
                </c:pt>
                <c:pt idx="83">
                  <c:v>112.4</c:v>
                </c:pt>
                <c:pt idx="84">
                  <c:v>112.03</c:v>
                </c:pt>
                <c:pt idx="85">
                  <c:v>112.62</c:v>
                </c:pt>
                <c:pt idx="86">
                  <c:v>112.94</c:v>
                </c:pt>
                <c:pt idx="87">
                  <c:v>114.68</c:v>
                </c:pt>
                <c:pt idx="88">
                  <c:v>113.28</c:v>
                </c:pt>
                <c:pt idx="89">
                  <c:v>114.17</c:v>
                </c:pt>
                <c:pt idx="90">
                  <c:v>113.63</c:v>
                </c:pt>
                <c:pt idx="91">
                  <c:v>114.21</c:v>
                </c:pt>
                <c:pt idx="92">
                  <c:v>112.96</c:v>
                </c:pt>
                <c:pt idx="93">
                  <c:v>110.99</c:v>
                </c:pt>
                <c:pt idx="94">
                  <c:v>110.98</c:v>
                </c:pt>
                <c:pt idx="95">
                  <c:v>110.53</c:v>
                </c:pt>
                <c:pt idx="96">
                  <c:v>108.95</c:v>
                </c:pt>
                <c:pt idx="97">
                  <c:v>109.91</c:v>
                </c:pt>
                <c:pt idx="98">
                  <c:v>110.58</c:v>
                </c:pt>
                <c:pt idx="99">
                  <c:v>110.53</c:v>
                </c:pt>
                <c:pt idx="100">
                  <c:v>109.04</c:v>
                </c:pt>
                <c:pt idx="101">
                  <c:v>111.19</c:v>
                </c:pt>
                <c:pt idx="102">
                  <c:v>112.28</c:v>
                </c:pt>
                <c:pt idx="103">
                  <c:v>112.52</c:v>
                </c:pt>
                <c:pt idx="104">
                  <c:v>112.46</c:v>
                </c:pt>
                <c:pt idx="105">
                  <c:v>111.53</c:v>
                </c:pt>
                <c:pt idx="106">
                  <c:v>109.59</c:v>
                </c:pt>
                <c:pt idx="107">
                  <c:v>110.28</c:v>
                </c:pt>
                <c:pt idx="108">
                  <c:v>111.03</c:v>
                </c:pt>
                <c:pt idx="109">
                  <c:v>112.48</c:v>
                </c:pt>
                <c:pt idx="110">
                  <c:v>115.43</c:v>
                </c:pt>
                <c:pt idx="111">
                  <c:v>113.83</c:v>
                </c:pt>
                <c:pt idx="112">
                  <c:v>112.81</c:v>
                </c:pt>
                <c:pt idx="113">
                  <c:v>112.21</c:v>
                </c:pt>
                <c:pt idx="114">
                  <c:v>110.31</c:v>
                </c:pt>
                <c:pt idx="115">
                  <c:v>111.1</c:v>
                </c:pt>
                <c:pt idx="116">
                  <c:v>112.19</c:v>
                </c:pt>
                <c:pt idx="117">
                  <c:v>113.53</c:v>
                </c:pt>
                <c:pt idx="118">
                  <c:v>112.93</c:v>
                </c:pt>
                <c:pt idx="119">
                  <c:v>110.64</c:v>
                </c:pt>
                <c:pt idx="120">
                  <c:v>110.45</c:v>
                </c:pt>
                <c:pt idx="121">
                  <c:v>110.43</c:v>
                </c:pt>
                <c:pt idx="122">
                  <c:v>110.79</c:v>
                </c:pt>
                <c:pt idx="123">
                  <c:v>108.96</c:v>
                </c:pt>
                <c:pt idx="124">
                  <c:v>108.18</c:v>
                </c:pt>
                <c:pt idx="125">
                  <c:v>107.57</c:v>
                </c:pt>
                <c:pt idx="126">
                  <c:v>110.69</c:v>
                </c:pt>
                <c:pt idx="127">
                  <c:v>110.21</c:v>
                </c:pt>
                <c:pt idx="128">
                  <c:v>112.94</c:v>
                </c:pt>
                <c:pt idx="129">
                  <c:v>112.55</c:v>
                </c:pt>
                <c:pt idx="130">
                  <c:v>111.62</c:v>
                </c:pt>
                <c:pt idx="131">
                  <c:v>111.03</c:v>
                </c:pt>
                <c:pt idx="132">
                  <c:v>109.79</c:v>
                </c:pt>
                <c:pt idx="133">
                  <c:v>110.04</c:v>
                </c:pt>
                <c:pt idx="134">
                  <c:v>109.58</c:v>
                </c:pt>
                <c:pt idx="135">
                  <c:v>107.57</c:v>
                </c:pt>
                <c:pt idx="136">
                  <c:v>106.88</c:v>
                </c:pt>
                <c:pt idx="137">
                  <c:v>105.78</c:v>
                </c:pt>
                <c:pt idx="138">
                  <c:v>105.09</c:v>
                </c:pt>
                <c:pt idx="139">
                  <c:v>104.87</c:v>
                </c:pt>
                <c:pt idx="140">
                  <c:v>104.77</c:v>
                </c:pt>
                <c:pt idx="141">
                  <c:v>104.98</c:v>
                </c:pt>
                <c:pt idx="142">
                  <c:v>103.55</c:v>
                </c:pt>
                <c:pt idx="143">
                  <c:v>103.26</c:v>
                </c:pt>
                <c:pt idx="144">
                  <c:v>104.2</c:v>
                </c:pt>
                <c:pt idx="145">
                  <c:v>103.37</c:v>
                </c:pt>
                <c:pt idx="146">
                  <c:v>103.92</c:v>
                </c:pt>
                <c:pt idx="147">
                  <c:v>104.63</c:v>
                </c:pt>
                <c:pt idx="148">
                  <c:v>104.76</c:v>
                </c:pt>
                <c:pt idx="149">
                  <c:v>106.97</c:v>
                </c:pt>
                <c:pt idx="150">
                  <c:v>108.93</c:v>
                </c:pt>
                <c:pt idx="151">
                  <c:v>109.18</c:v>
                </c:pt>
                <c:pt idx="152">
                  <c:v>110.14</c:v>
                </c:pt>
                <c:pt idx="153">
                  <c:v>108.73</c:v>
                </c:pt>
                <c:pt idx="154">
                  <c:v>107.72</c:v>
                </c:pt>
                <c:pt idx="155">
                  <c:v>108.1</c:v>
                </c:pt>
                <c:pt idx="156">
                  <c:v>107.26</c:v>
                </c:pt>
                <c:pt idx="157">
                  <c:v>105.9</c:v>
                </c:pt>
                <c:pt idx="158">
                  <c:v>105.42</c:v>
                </c:pt>
                <c:pt idx="159">
                  <c:v>105.15</c:v>
                </c:pt>
                <c:pt idx="160">
                  <c:v>108.95</c:v>
                </c:pt>
                <c:pt idx="161">
                  <c:v>109.5</c:v>
                </c:pt>
                <c:pt idx="162">
                  <c:v>110.16</c:v>
                </c:pt>
                <c:pt idx="163">
                  <c:v>111.15</c:v>
                </c:pt>
                <c:pt idx="164">
                  <c:v>112.62</c:v>
                </c:pt>
                <c:pt idx="165">
                  <c:v>112.14</c:v>
                </c:pt>
                <c:pt idx="166">
                  <c:v>111.03</c:v>
                </c:pt>
                <c:pt idx="167">
                  <c:v>111.41</c:v>
                </c:pt>
                <c:pt idx="168">
                  <c:v>108.41</c:v>
                </c:pt>
                <c:pt idx="169">
                  <c:v>109.47</c:v>
                </c:pt>
                <c:pt idx="170">
                  <c:v>108.35</c:v>
                </c:pt>
                <c:pt idx="171">
                  <c:v>106.58</c:v>
                </c:pt>
                <c:pt idx="172">
                  <c:v>105.18</c:v>
                </c:pt>
                <c:pt idx="173">
                  <c:v>106.72</c:v>
                </c:pt>
                <c:pt idx="174">
                  <c:v>107.32</c:v>
                </c:pt>
                <c:pt idx="175">
                  <c:v>105.74</c:v>
                </c:pt>
                <c:pt idx="176">
                  <c:v>105.71</c:v>
                </c:pt>
                <c:pt idx="177">
                  <c:v>109.02</c:v>
                </c:pt>
                <c:pt idx="178">
                  <c:v>111.91</c:v>
                </c:pt>
                <c:pt idx="179">
                  <c:v>110.44</c:v>
                </c:pt>
                <c:pt idx="180">
                  <c:v>111.23</c:v>
                </c:pt>
                <c:pt idx="181">
                  <c:v>109.75</c:v>
                </c:pt>
                <c:pt idx="182">
                  <c:v>109.39</c:v>
                </c:pt>
                <c:pt idx="183">
                  <c:v>107.06</c:v>
                </c:pt>
                <c:pt idx="184">
                  <c:v>106.65</c:v>
                </c:pt>
                <c:pt idx="185">
                  <c:v>104.61</c:v>
                </c:pt>
                <c:pt idx="186">
                  <c:v>102.42</c:v>
                </c:pt>
                <c:pt idx="187">
                  <c:v>101.73</c:v>
                </c:pt>
                <c:pt idx="188">
                  <c:v>99.35</c:v>
                </c:pt>
                <c:pt idx="189">
                  <c:v>99.81</c:v>
                </c:pt>
                <c:pt idx="190">
                  <c:v>101.28</c:v>
                </c:pt>
                <c:pt idx="191">
                  <c:v>100.54</c:v>
                </c:pt>
                <c:pt idx="192">
                  <c:v>99.81</c:v>
                </c:pt>
                <c:pt idx="193">
                  <c:v>100.19</c:v>
                </c:pt>
                <c:pt idx="194">
                  <c:v>99.63</c:v>
                </c:pt>
                <c:pt idx="195">
                  <c:v>101</c:v>
                </c:pt>
                <c:pt idx="196">
                  <c:v>100.52</c:v>
                </c:pt>
                <c:pt idx="197">
                  <c:v>100.47</c:v>
                </c:pt>
                <c:pt idx="198">
                  <c:v>101.14</c:v>
                </c:pt>
                <c:pt idx="199">
                  <c:v>102.4</c:v>
                </c:pt>
                <c:pt idx="200">
                  <c:v>103.88</c:v>
                </c:pt>
                <c:pt idx="201">
                  <c:v>105.56</c:v>
                </c:pt>
                <c:pt idx="202">
                  <c:v>105.94</c:v>
                </c:pt>
                <c:pt idx="203">
                  <c:v>104.88</c:v>
                </c:pt>
                <c:pt idx="204">
                  <c:v>105.82</c:v>
                </c:pt>
                <c:pt idx="205">
                  <c:v>105.53</c:v>
                </c:pt>
                <c:pt idx="206">
                  <c:v>103.75</c:v>
                </c:pt>
                <c:pt idx="207">
                  <c:v>102.55</c:v>
                </c:pt>
                <c:pt idx="208">
                  <c:v>101.14</c:v>
                </c:pt>
                <c:pt idx="209">
                  <c:v>101.23</c:v>
                </c:pt>
                <c:pt idx="210">
                  <c:v>99.84</c:v>
                </c:pt>
                <c:pt idx="211">
                  <c:v>102.68</c:v>
                </c:pt>
                <c:pt idx="212">
                  <c:v>102.27</c:v>
                </c:pt>
                <c:pt idx="213">
                  <c:v>102.12</c:v>
                </c:pt>
                <c:pt idx="214">
                  <c:v>104.76</c:v>
                </c:pt>
                <c:pt idx="215">
                  <c:v>105.02</c:v>
                </c:pt>
                <c:pt idx="216">
                  <c:v>104.96</c:v>
                </c:pt>
                <c:pt idx="217">
                  <c:v>105.02</c:v>
                </c:pt>
                <c:pt idx="218">
                  <c:v>103.8</c:v>
                </c:pt>
                <c:pt idx="219">
                  <c:v>104.7</c:v>
                </c:pt>
                <c:pt idx="220">
                  <c:v>101.85</c:v>
                </c:pt>
                <c:pt idx="221">
                  <c:v>103.37</c:v>
                </c:pt>
                <c:pt idx="222">
                  <c:v>100.73</c:v>
                </c:pt>
                <c:pt idx="223">
                  <c:v>99.68</c:v>
                </c:pt>
                <c:pt idx="224">
                  <c:v>99.96</c:v>
                </c:pt>
                <c:pt idx="225">
                  <c:v>99.71</c:v>
                </c:pt>
                <c:pt idx="226">
                  <c:v>96.61</c:v>
                </c:pt>
                <c:pt idx="227">
                  <c:v>102.29</c:v>
                </c:pt>
                <c:pt idx="228">
                  <c:v>97.42</c:v>
                </c:pt>
                <c:pt idx="229">
                  <c:v>99.52</c:v>
                </c:pt>
                <c:pt idx="230">
                  <c:v>100.87</c:v>
                </c:pt>
                <c:pt idx="231">
                  <c:v>108.7</c:v>
                </c:pt>
                <c:pt idx="232">
                  <c:v>114.73</c:v>
                </c:pt>
                <c:pt idx="233">
                  <c:v>115.09</c:v>
                </c:pt>
                <c:pt idx="234">
                  <c:v>114.98</c:v>
                </c:pt>
                <c:pt idx="235">
                  <c:v>113.82</c:v>
                </c:pt>
                <c:pt idx="236">
                  <c:v>113.97</c:v>
                </c:pt>
                <c:pt idx="237">
                  <c:v>114.34</c:v>
                </c:pt>
                <c:pt idx="238">
                  <c:v>112.72</c:v>
                </c:pt>
                <c:pt idx="239">
                  <c:v>111.95</c:v>
                </c:pt>
                <c:pt idx="240">
                  <c:v>111.66</c:v>
                </c:pt>
                <c:pt idx="241">
                  <c:v>112.05</c:v>
                </c:pt>
                <c:pt idx="242">
                  <c:v>111.58</c:v>
                </c:pt>
                <c:pt idx="243">
                  <c:v>109.87</c:v>
                </c:pt>
                <c:pt idx="244">
                  <c:v>109.98</c:v>
                </c:pt>
                <c:pt idx="245">
                  <c:v>108.18</c:v>
                </c:pt>
                <c:pt idx="246">
                  <c:v>105.06</c:v>
                </c:pt>
                <c:pt idx="247">
                  <c:v>105.5</c:v>
                </c:pt>
                <c:pt idx="248">
                  <c:v>105.53</c:v>
                </c:pt>
                <c:pt idx="249">
                  <c:v>108.09</c:v>
                </c:pt>
                <c:pt idx="250">
                  <c:v>105.4</c:v>
                </c:pt>
                <c:pt idx="251">
                  <c:v>104.05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1-E14F-B518-11F7196BC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997888"/>
        <c:axId val="1810534784"/>
      </c:lineChart>
      <c:dateAx>
        <c:axId val="17659978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534784"/>
        <c:crosses val="autoZero"/>
        <c:auto val="1"/>
        <c:lblOffset val="100"/>
        <c:baseTimeUnit val="days"/>
      </c:dateAx>
      <c:valAx>
        <c:axId val="181053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9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Stocks vs Oil Prices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XOM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Close1!$A$2:$A$253</c:f>
              <c:numCache>
                <c:formatCode>d\-mmm\-yy</c:formatCode>
                <c:ptCount val="252"/>
                <c:pt idx="0">
                  <c:v>46087</c:v>
                </c:pt>
                <c:pt idx="1">
                  <c:v>46086</c:v>
                </c:pt>
                <c:pt idx="2">
                  <c:v>46085</c:v>
                </c:pt>
                <c:pt idx="3">
                  <c:v>46084</c:v>
                </c:pt>
                <c:pt idx="4">
                  <c:v>46083</c:v>
                </c:pt>
                <c:pt idx="5">
                  <c:v>46080</c:v>
                </c:pt>
                <c:pt idx="6">
                  <c:v>46079</c:v>
                </c:pt>
                <c:pt idx="7">
                  <c:v>46078</c:v>
                </c:pt>
                <c:pt idx="8">
                  <c:v>46077</c:v>
                </c:pt>
                <c:pt idx="9">
                  <c:v>46076</c:v>
                </c:pt>
                <c:pt idx="10">
                  <c:v>46073</c:v>
                </c:pt>
                <c:pt idx="11">
                  <c:v>46072</c:v>
                </c:pt>
                <c:pt idx="12">
                  <c:v>46071</c:v>
                </c:pt>
                <c:pt idx="13">
                  <c:v>46070</c:v>
                </c:pt>
                <c:pt idx="14">
                  <c:v>46066</c:v>
                </c:pt>
                <c:pt idx="15">
                  <c:v>46065</c:v>
                </c:pt>
                <c:pt idx="16">
                  <c:v>46064</c:v>
                </c:pt>
                <c:pt idx="17">
                  <c:v>46063</c:v>
                </c:pt>
                <c:pt idx="18">
                  <c:v>46062</c:v>
                </c:pt>
                <c:pt idx="19">
                  <c:v>46059</c:v>
                </c:pt>
                <c:pt idx="20">
                  <c:v>46058</c:v>
                </c:pt>
                <c:pt idx="21">
                  <c:v>46057</c:v>
                </c:pt>
                <c:pt idx="22">
                  <c:v>46056</c:v>
                </c:pt>
                <c:pt idx="23">
                  <c:v>46055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46048</c:v>
                </c:pt>
                <c:pt idx="29">
                  <c:v>46045</c:v>
                </c:pt>
                <c:pt idx="30">
                  <c:v>46044</c:v>
                </c:pt>
                <c:pt idx="31">
                  <c:v>46043</c:v>
                </c:pt>
                <c:pt idx="32">
                  <c:v>46042</c:v>
                </c:pt>
                <c:pt idx="33">
                  <c:v>46038</c:v>
                </c:pt>
                <c:pt idx="34">
                  <c:v>46037</c:v>
                </c:pt>
                <c:pt idx="35">
                  <c:v>46036</c:v>
                </c:pt>
                <c:pt idx="36">
                  <c:v>46035</c:v>
                </c:pt>
                <c:pt idx="37">
                  <c:v>46034</c:v>
                </c:pt>
                <c:pt idx="38">
                  <c:v>46031</c:v>
                </c:pt>
                <c:pt idx="39">
                  <c:v>46030</c:v>
                </c:pt>
                <c:pt idx="40">
                  <c:v>46029</c:v>
                </c:pt>
                <c:pt idx="41">
                  <c:v>46028</c:v>
                </c:pt>
                <c:pt idx="42">
                  <c:v>46027</c:v>
                </c:pt>
                <c:pt idx="43">
                  <c:v>46024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45987</c:v>
                </c:pt>
                <c:pt idx="68">
                  <c:v>45986</c:v>
                </c:pt>
                <c:pt idx="69">
                  <c:v>45985</c:v>
                </c:pt>
                <c:pt idx="70">
                  <c:v>45982</c:v>
                </c:pt>
                <c:pt idx="71">
                  <c:v>45981</c:v>
                </c:pt>
                <c:pt idx="72">
                  <c:v>45980</c:v>
                </c:pt>
                <c:pt idx="73">
                  <c:v>45979</c:v>
                </c:pt>
                <c:pt idx="74">
                  <c:v>45978</c:v>
                </c:pt>
                <c:pt idx="75">
                  <c:v>45975</c:v>
                </c:pt>
                <c:pt idx="76">
                  <c:v>45974</c:v>
                </c:pt>
                <c:pt idx="77">
                  <c:v>45973</c:v>
                </c:pt>
                <c:pt idx="78">
                  <c:v>45972</c:v>
                </c:pt>
                <c:pt idx="79">
                  <c:v>45971</c:v>
                </c:pt>
                <c:pt idx="80">
                  <c:v>45968</c:v>
                </c:pt>
                <c:pt idx="81">
                  <c:v>45967</c:v>
                </c:pt>
                <c:pt idx="82">
                  <c:v>45966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45952</c:v>
                </c:pt>
                <c:pt idx="93">
                  <c:v>45951</c:v>
                </c:pt>
                <c:pt idx="94">
                  <c:v>45950</c:v>
                </c:pt>
                <c:pt idx="95">
                  <c:v>45947</c:v>
                </c:pt>
                <c:pt idx="96">
                  <c:v>45946</c:v>
                </c:pt>
                <c:pt idx="97">
                  <c:v>45945</c:v>
                </c:pt>
                <c:pt idx="98">
                  <c:v>45944</c:v>
                </c:pt>
                <c:pt idx="99">
                  <c:v>45943</c:v>
                </c:pt>
                <c:pt idx="100">
                  <c:v>45940</c:v>
                </c:pt>
                <c:pt idx="101">
                  <c:v>45939</c:v>
                </c:pt>
                <c:pt idx="102">
                  <c:v>45938</c:v>
                </c:pt>
                <c:pt idx="103">
                  <c:v>45937</c:v>
                </c:pt>
                <c:pt idx="104">
                  <c:v>45936</c:v>
                </c:pt>
                <c:pt idx="105">
                  <c:v>45933</c:v>
                </c:pt>
                <c:pt idx="106">
                  <c:v>45932</c:v>
                </c:pt>
                <c:pt idx="107">
                  <c:v>45931</c:v>
                </c:pt>
                <c:pt idx="108">
                  <c:v>45930</c:v>
                </c:pt>
                <c:pt idx="109">
                  <c:v>45929</c:v>
                </c:pt>
                <c:pt idx="110">
                  <c:v>45926</c:v>
                </c:pt>
                <c:pt idx="111">
                  <c:v>45925</c:v>
                </c:pt>
                <c:pt idx="112">
                  <c:v>45924</c:v>
                </c:pt>
                <c:pt idx="113">
                  <c:v>45923</c:v>
                </c:pt>
                <c:pt idx="114">
                  <c:v>45922</c:v>
                </c:pt>
                <c:pt idx="115">
                  <c:v>45919</c:v>
                </c:pt>
                <c:pt idx="116">
                  <c:v>45918</c:v>
                </c:pt>
                <c:pt idx="117">
                  <c:v>45917</c:v>
                </c:pt>
                <c:pt idx="118">
                  <c:v>45916</c:v>
                </c:pt>
                <c:pt idx="119">
                  <c:v>45915</c:v>
                </c:pt>
                <c:pt idx="120">
                  <c:v>45912</c:v>
                </c:pt>
                <c:pt idx="121">
                  <c:v>45911</c:v>
                </c:pt>
                <c:pt idx="122">
                  <c:v>45910</c:v>
                </c:pt>
                <c:pt idx="123">
                  <c:v>45909</c:v>
                </c:pt>
                <c:pt idx="124">
                  <c:v>45908</c:v>
                </c:pt>
                <c:pt idx="125">
                  <c:v>45905</c:v>
                </c:pt>
                <c:pt idx="126">
                  <c:v>45904</c:v>
                </c:pt>
                <c:pt idx="127">
                  <c:v>45903</c:v>
                </c:pt>
                <c:pt idx="128">
                  <c:v>45902</c:v>
                </c:pt>
                <c:pt idx="129">
                  <c:v>45898</c:v>
                </c:pt>
                <c:pt idx="130">
                  <c:v>45897</c:v>
                </c:pt>
                <c:pt idx="131">
                  <c:v>45896</c:v>
                </c:pt>
                <c:pt idx="132">
                  <c:v>45895</c:v>
                </c:pt>
                <c:pt idx="133">
                  <c:v>45894</c:v>
                </c:pt>
                <c:pt idx="134">
                  <c:v>45891</c:v>
                </c:pt>
                <c:pt idx="135">
                  <c:v>45890</c:v>
                </c:pt>
                <c:pt idx="136">
                  <c:v>45889</c:v>
                </c:pt>
                <c:pt idx="137">
                  <c:v>45888</c:v>
                </c:pt>
                <c:pt idx="138">
                  <c:v>45887</c:v>
                </c:pt>
                <c:pt idx="139">
                  <c:v>45884</c:v>
                </c:pt>
                <c:pt idx="140">
                  <c:v>45883</c:v>
                </c:pt>
                <c:pt idx="141">
                  <c:v>45882</c:v>
                </c:pt>
                <c:pt idx="142">
                  <c:v>45881</c:v>
                </c:pt>
                <c:pt idx="143">
                  <c:v>45880</c:v>
                </c:pt>
                <c:pt idx="144">
                  <c:v>45877</c:v>
                </c:pt>
                <c:pt idx="145">
                  <c:v>45876</c:v>
                </c:pt>
                <c:pt idx="146">
                  <c:v>45875</c:v>
                </c:pt>
                <c:pt idx="147">
                  <c:v>45874</c:v>
                </c:pt>
                <c:pt idx="148">
                  <c:v>45873</c:v>
                </c:pt>
                <c:pt idx="149">
                  <c:v>45870</c:v>
                </c:pt>
                <c:pt idx="150">
                  <c:v>45869</c:v>
                </c:pt>
                <c:pt idx="151">
                  <c:v>45868</c:v>
                </c:pt>
                <c:pt idx="152">
                  <c:v>45867</c:v>
                </c:pt>
                <c:pt idx="153">
                  <c:v>45866</c:v>
                </c:pt>
                <c:pt idx="154">
                  <c:v>45863</c:v>
                </c:pt>
                <c:pt idx="155">
                  <c:v>45862</c:v>
                </c:pt>
                <c:pt idx="156">
                  <c:v>45861</c:v>
                </c:pt>
                <c:pt idx="157">
                  <c:v>45860</c:v>
                </c:pt>
                <c:pt idx="158">
                  <c:v>45859</c:v>
                </c:pt>
                <c:pt idx="159">
                  <c:v>45856</c:v>
                </c:pt>
                <c:pt idx="160">
                  <c:v>45855</c:v>
                </c:pt>
                <c:pt idx="161">
                  <c:v>45854</c:v>
                </c:pt>
                <c:pt idx="162">
                  <c:v>45853</c:v>
                </c:pt>
                <c:pt idx="163">
                  <c:v>45852</c:v>
                </c:pt>
                <c:pt idx="164">
                  <c:v>45849</c:v>
                </c:pt>
                <c:pt idx="165">
                  <c:v>45848</c:v>
                </c:pt>
                <c:pt idx="166">
                  <c:v>45847</c:v>
                </c:pt>
                <c:pt idx="167">
                  <c:v>45846</c:v>
                </c:pt>
                <c:pt idx="168">
                  <c:v>45845</c:v>
                </c:pt>
                <c:pt idx="169">
                  <c:v>45841</c:v>
                </c:pt>
                <c:pt idx="170">
                  <c:v>45840</c:v>
                </c:pt>
                <c:pt idx="171">
                  <c:v>45839</c:v>
                </c:pt>
                <c:pt idx="172">
                  <c:v>45838</c:v>
                </c:pt>
                <c:pt idx="173">
                  <c:v>45835</c:v>
                </c:pt>
                <c:pt idx="174">
                  <c:v>45834</c:v>
                </c:pt>
                <c:pt idx="175">
                  <c:v>45833</c:v>
                </c:pt>
                <c:pt idx="176">
                  <c:v>45832</c:v>
                </c:pt>
                <c:pt idx="177">
                  <c:v>45831</c:v>
                </c:pt>
                <c:pt idx="178">
                  <c:v>45828</c:v>
                </c:pt>
                <c:pt idx="179">
                  <c:v>45826</c:v>
                </c:pt>
                <c:pt idx="180">
                  <c:v>45825</c:v>
                </c:pt>
                <c:pt idx="181">
                  <c:v>45824</c:v>
                </c:pt>
                <c:pt idx="182">
                  <c:v>45821</c:v>
                </c:pt>
                <c:pt idx="183">
                  <c:v>45820</c:v>
                </c:pt>
                <c:pt idx="184">
                  <c:v>45819</c:v>
                </c:pt>
                <c:pt idx="185">
                  <c:v>45818</c:v>
                </c:pt>
                <c:pt idx="186">
                  <c:v>45817</c:v>
                </c:pt>
                <c:pt idx="187">
                  <c:v>45814</c:v>
                </c:pt>
                <c:pt idx="188">
                  <c:v>45813</c:v>
                </c:pt>
                <c:pt idx="189">
                  <c:v>45812</c:v>
                </c:pt>
                <c:pt idx="190">
                  <c:v>45811</c:v>
                </c:pt>
                <c:pt idx="191">
                  <c:v>45810</c:v>
                </c:pt>
                <c:pt idx="192">
                  <c:v>45807</c:v>
                </c:pt>
                <c:pt idx="193">
                  <c:v>45806</c:v>
                </c:pt>
                <c:pt idx="194">
                  <c:v>45805</c:v>
                </c:pt>
                <c:pt idx="195">
                  <c:v>45804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45778</c:v>
                </c:pt>
                <c:pt idx="213">
                  <c:v>45777</c:v>
                </c:pt>
                <c:pt idx="214">
                  <c:v>45776</c:v>
                </c:pt>
                <c:pt idx="215">
                  <c:v>45775</c:v>
                </c:pt>
                <c:pt idx="216">
                  <c:v>45772</c:v>
                </c:pt>
                <c:pt idx="217">
                  <c:v>45771</c:v>
                </c:pt>
                <c:pt idx="218">
                  <c:v>45770</c:v>
                </c:pt>
                <c:pt idx="219">
                  <c:v>45769</c:v>
                </c:pt>
                <c:pt idx="220">
                  <c:v>45768</c:v>
                </c:pt>
                <c:pt idx="221">
                  <c:v>45764</c:v>
                </c:pt>
                <c:pt idx="222">
                  <c:v>45763</c:v>
                </c:pt>
                <c:pt idx="223">
                  <c:v>45762</c:v>
                </c:pt>
                <c:pt idx="224">
                  <c:v>45761</c:v>
                </c:pt>
                <c:pt idx="225">
                  <c:v>45758</c:v>
                </c:pt>
                <c:pt idx="226">
                  <c:v>45757</c:v>
                </c:pt>
                <c:pt idx="227">
                  <c:v>45756</c:v>
                </c:pt>
                <c:pt idx="228">
                  <c:v>45755</c:v>
                </c:pt>
                <c:pt idx="229">
                  <c:v>45754</c:v>
                </c:pt>
                <c:pt idx="230">
                  <c:v>45751</c:v>
                </c:pt>
                <c:pt idx="231">
                  <c:v>45750</c:v>
                </c:pt>
                <c:pt idx="232">
                  <c:v>45749</c:v>
                </c:pt>
                <c:pt idx="233">
                  <c:v>45748</c:v>
                </c:pt>
                <c:pt idx="234">
                  <c:v>45747</c:v>
                </c:pt>
                <c:pt idx="235">
                  <c:v>45744</c:v>
                </c:pt>
                <c:pt idx="236">
                  <c:v>45743</c:v>
                </c:pt>
                <c:pt idx="237">
                  <c:v>45742</c:v>
                </c:pt>
                <c:pt idx="238">
                  <c:v>45741</c:v>
                </c:pt>
                <c:pt idx="239">
                  <c:v>45740</c:v>
                </c:pt>
                <c:pt idx="240">
                  <c:v>45737</c:v>
                </c:pt>
                <c:pt idx="241">
                  <c:v>45736</c:v>
                </c:pt>
                <c:pt idx="242">
                  <c:v>45735</c:v>
                </c:pt>
                <c:pt idx="243">
                  <c:v>45734</c:v>
                </c:pt>
                <c:pt idx="244">
                  <c:v>45733</c:v>
                </c:pt>
                <c:pt idx="245">
                  <c:v>45730</c:v>
                </c:pt>
                <c:pt idx="246">
                  <c:v>45729</c:v>
                </c:pt>
                <c:pt idx="247">
                  <c:v>45728</c:v>
                </c:pt>
                <c:pt idx="248">
                  <c:v>45727</c:v>
                </c:pt>
                <c:pt idx="249">
                  <c:v>45726</c:v>
                </c:pt>
                <c:pt idx="250">
                  <c:v>45723</c:v>
                </c:pt>
                <c:pt idx="251">
                  <c:v>45722</c:v>
                </c:pt>
              </c:numCache>
            </c:numRef>
          </c:cat>
          <c:val>
            <c:numRef>
              <c:f>Close1!$B$2:$B$253</c:f>
              <c:numCache>
                <c:formatCode>General</c:formatCode>
                <c:ptCount val="252"/>
                <c:pt idx="0">
                  <c:v>151.9</c:v>
                </c:pt>
                <c:pt idx="1">
                  <c:v>150.76</c:v>
                </c:pt>
                <c:pt idx="2">
                  <c:v>149.82</c:v>
                </c:pt>
                <c:pt idx="3">
                  <c:v>151.83000000000001</c:v>
                </c:pt>
                <c:pt idx="4">
                  <c:v>154.22</c:v>
                </c:pt>
                <c:pt idx="5">
                  <c:v>152.5</c:v>
                </c:pt>
                <c:pt idx="6">
                  <c:v>148.54</c:v>
                </c:pt>
                <c:pt idx="7">
                  <c:v>149.06</c:v>
                </c:pt>
                <c:pt idx="8">
                  <c:v>149.26</c:v>
                </c:pt>
                <c:pt idx="9">
                  <c:v>150.76</c:v>
                </c:pt>
                <c:pt idx="10">
                  <c:v>147.28</c:v>
                </c:pt>
                <c:pt idx="11">
                  <c:v>150.97</c:v>
                </c:pt>
                <c:pt idx="12">
                  <c:v>150.68</c:v>
                </c:pt>
                <c:pt idx="13">
                  <c:v>146.19</c:v>
                </c:pt>
                <c:pt idx="14">
                  <c:v>148.44999999999999</c:v>
                </c:pt>
                <c:pt idx="15">
                  <c:v>149.93</c:v>
                </c:pt>
                <c:pt idx="16">
                  <c:v>154.53</c:v>
                </c:pt>
                <c:pt idx="17">
                  <c:v>150.59</c:v>
                </c:pt>
                <c:pt idx="18">
                  <c:v>150.21</c:v>
                </c:pt>
                <c:pt idx="19">
                  <c:v>148.06</c:v>
                </c:pt>
                <c:pt idx="20">
                  <c:v>145.11000000000001</c:v>
                </c:pt>
                <c:pt idx="21">
                  <c:v>146.61000000000001</c:v>
                </c:pt>
                <c:pt idx="22">
                  <c:v>142.78</c:v>
                </c:pt>
                <c:pt idx="23">
                  <c:v>137.47999999999999</c:v>
                </c:pt>
                <c:pt idx="24">
                  <c:v>140.46</c:v>
                </c:pt>
                <c:pt idx="25">
                  <c:v>139.58000000000001</c:v>
                </c:pt>
                <c:pt idx="26">
                  <c:v>136.66999999999999</c:v>
                </c:pt>
                <c:pt idx="27">
                  <c:v>135.91999999999999</c:v>
                </c:pt>
                <c:pt idx="28">
                  <c:v>133.94999999999999</c:v>
                </c:pt>
                <c:pt idx="29">
                  <c:v>134.08000000000001</c:v>
                </c:pt>
                <c:pt idx="30">
                  <c:v>132.76</c:v>
                </c:pt>
                <c:pt idx="31">
                  <c:v>132.72999999999999</c:v>
                </c:pt>
                <c:pt idx="32">
                  <c:v>129.6</c:v>
                </c:pt>
                <c:pt idx="33">
                  <c:v>129.03</c:v>
                </c:pt>
                <c:pt idx="34">
                  <c:v>128.28</c:v>
                </c:pt>
                <c:pt idx="35">
                  <c:v>129.34</c:v>
                </c:pt>
                <c:pt idx="36">
                  <c:v>125.7</c:v>
                </c:pt>
                <c:pt idx="37">
                  <c:v>123.21</c:v>
                </c:pt>
                <c:pt idx="38">
                  <c:v>123.78</c:v>
                </c:pt>
                <c:pt idx="39">
                  <c:v>122.1</c:v>
                </c:pt>
                <c:pt idx="40">
                  <c:v>117.71</c:v>
                </c:pt>
                <c:pt idx="41">
                  <c:v>120.25</c:v>
                </c:pt>
                <c:pt idx="42">
                  <c:v>124.53</c:v>
                </c:pt>
                <c:pt idx="43">
                  <c:v>121.84</c:v>
                </c:pt>
                <c:pt idx="44">
                  <c:v>119.54</c:v>
                </c:pt>
                <c:pt idx="45">
                  <c:v>120.19</c:v>
                </c:pt>
                <c:pt idx="46">
                  <c:v>119.73</c:v>
                </c:pt>
                <c:pt idx="47">
                  <c:v>118.32</c:v>
                </c:pt>
                <c:pt idx="48">
                  <c:v>118.43</c:v>
                </c:pt>
                <c:pt idx="49">
                  <c:v>118.63</c:v>
                </c:pt>
                <c:pt idx="50">
                  <c:v>117.37</c:v>
                </c:pt>
                <c:pt idx="51">
                  <c:v>115.92</c:v>
                </c:pt>
                <c:pt idx="52">
                  <c:v>115.77</c:v>
                </c:pt>
                <c:pt idx="53">
                  <c:v>116.63</c:v>
                </c:pt>
                <c:pt idx="54">
                  <c:v>113.92</c:v>
                </c:pt>
                <c:pt idx="55">
                  <c:v>116.98</c:v>
                </c:pt>
                <c:pt idx="56">
                  <c:v>118.03</c:v>
                </c:pt>
                <c:pt idx="57">
                  <c:v>118.75</c:v>
                </c:pt>
                <c:pt idx="58">
                  <c:v>118.75</c:v>
                </c:pt>
                <c:pt idx="59">
                  <c:v>117.47</c:v>
                </c:pt>
                <c:pt idx="60">
                  <c:v>115.21</c:v>
                </c:pt>
                <c:pt idx="61">
                  <c:v>115.77</c:v>
                </c:pt>
                <c:pt idx="62">
                  <c:v>116.36</c:v>
                </c:pt>
                <c:pt idx="63">
                  <c:v>117.02</c:v>
                </c:pt>
                <c:pt idx="64">
                  <c:v>114.62</c:v>
                </c:pt>
                <c:pt idx="65">
                  <c:v>115.86</c:v>
                </c:pt>
                <c:pt idx="66">
                  <c:v>115.15</c:v>
                </c:pt>
                <c:pt idx="67">
                  <c:v>114.01</c:v>
                </c:pt>
                <c:pt idx="68">
                  <c:v>113.75</c:v>
                </c:pt>
                <c:pt idx="69">
                  <c:v>115.2</c:v>
                </c:pt>
                <c:pt idx="70">
                  <c:v>116.3</c:v>
                </c:pt>
                <c:pt idx="71">
                  <c:v>116.25</c:v>
                </c:pt>
                <c:pt idx="72">
                  <c:v>116.57</c:v>
                </c:pt>
                <c:pt idx="73">
                  <c:v>118.24</c:v>
                </c:pt>
                <c:pt idx="74">
                  <c:v>116.9</c:v>
                </c:pt>
                <c:pt idx="75">
                  <c:v>118.5</c:v>
                </c:pt>
                <c:pt idx="76">
                  <c:v>116.98</c:v>
                </c:pt>
                <c:pt idx="77">
                  <c:v>116.32</c:v>
                </c:pt>
                <c:pt idx="78">
                  <c:v>117.96</c:v>
                </c:pt>
                <c:pt idx="79">
                  <c:v>116.42</c:v>
                </c:pt>
                <c:pt idx="80">
                  <c:v>115.43</c:v>
                </c:pt>
                <c:pt idx="81">
                  <c:v>112.76</c:v>
                </c:pt>
                <c:pt idx="82">
                  <c:v>111.95</c:v>
                </c:pt>
                <c:pt idx="83">
                  <c:v>112.4</c:v>
                </c:pt>
                <c:pt idx="84">
                  <c:v>112.03</c:v>
                </c:pt>
                <c:pt idx="85">
                  <c:v>112.62</c:v>
                </c:pt>
                <c:pt idx="86">
                  <c:v>112.94</c:v>
                </c:pt>
                <c:pt idx="87">
                  <c:v>114.68</c:v>
                </c:pt>
                <c:pt idx="88">
                  <c:v>113.28</c:v>
                </c:pt>
                <c:pt idx="89">
                  <c:v>114.17</c:v>
                </c:pt>
                <c:pt idx="90">
                  <c:v>113.63</c:v>
                </c:pt>
                <c:pt idx="91">
                  <c:v>114.21</c:v>
                </c:pt>
                <c:pt idx="92">
                  <c:v>112.96</c:v>
                </c:pt>
                <c:pt idx="93">
                  <c:v>110.99</c:v>
                </c:pt>
                <c:pt idx="94">
                  <c:v>110.98</c:v>
                </c:pt>
                <c:pt idx="95">
                  <c:v>110.53</c:v>
                </c:pt>
                <c:pt idx="96">
                  <c:v>108.95</c:v>
                </c:pt>
                <c:pt idx="97">
                  <c:v>109.91</c:v>
                </c:pt>
                <c:pt idx="98">
                  <c:v>110.58</c:v>
                </c:pt>
                <c:pt idx="99">
                  <c:v>110.53</c:v>
                </c:pt>
                <c:pt idx="100">
                  <c:v>109.04</c:v>
                </c:pt>
                <c:pt idx="101">
                  <c:v>111.19</c:v>
                </c:pt>
                <c:pt idx="102">
                  <c:v>112.28</c:v>
                </c:pt>
                <c:pt idx="103">
                  <c:v>112.52</c:v>
                </c:pt>
                <c:pt idx="104">
                  <c:v>112.46</c:v>
                </c:pt>
                <c:pt idx="105">
                  <c:v>111.53</c:v>
                </c:pt>
                <c:pt idx="106">
                  <c:v>109.59</c:v>
                </c:pt>
                <c:pt idx="107">
                  <c:v>110.28</c:v>
                </c:pt>
                <c:pt idx="108">
                  <c:v>111.03</c:v>
                </c:pt>
                <c:pt idx="109">
                  <c:v>112.48</c:v>
                </c:pt>
                <c:pt idx="110">
                  <c:v>115.43</c:v>
                </c:pt>
                <c:pt idx="111">
                  <c:v>113.83</c:v>
                </c:pt>
                <c:pt idx="112">
                  <c:v>112.81</c:v>
                </c:pt>
                <c:pt idx="113">
                  <c:v>112.21</c:v>
                </c:pt>
                <c:pt idx="114">
                  <c:v>110.31</c:v>
                </c:pt>
                <c:pt idx="115">
                  <c:v>111.1</c:v>
                </c:pt>
                <c:pt idx="116">
                  <c:v>112.19</c:v>
                </c:pt>
                <c:pt idx="117">
                  <c:v>113.53</c:v>
                </c:pt>
                <c:pt idx="118">
                  <c:v>112.93</c:v>
                </c:pt>
                <c:pt idx="119">
                  <c:v>110.64</c:v>
                </c:pt>
                <c:pt idx="120">
                  <c:v>110.45</c:v>
                </c:pt>
                <c:pt idx="121">
                  <c:v>110.43</c:v>
                </c:pt>
                <c:pt idx="122">
                  <c:v>110.79</c:v>
                </c:pt>
                <c:pt idx="123">
                  <c:v>108.96</c:v>
                </c:pt>
                <c:pt idx="124">
                  <c:v>108.18</c:v>
                </c:pt>
                <c:pt idx="125">
                  <c:v>107.57</c:v>
                </c:pt>
                <c:pt idx="126">
                  <c:v>110.69</c:v>
                </c:pt>
                <c:pt idx="127">
                  <c:v>110.21</c:v>
                </c:pt>
                <c:pt idx="128">
                  <c:v>112.94</c:v>
                </c:pt>
                <c:pt idx="129">
                  <c:v>112.55</c:v>
                </c:pt>
                <c:pt idx="130">
                  <c:v>111.62</c:v>
                </c:pt>
                <c:pt idx="131">
                  <c:v>111.03</c:v>
                </c:pt>
                <c:pt idx="132">
                  <c:v>109.79</c:v>
                </c:pt>
                <c:pt idx="133">
                  <c:v>110.04</c:v>
                </c:pt>
                <c:pt idx="134">
                  <c:v>109.58</c:v>
                </c:pt>
                <c:pt idx="135">
                  <c:v>107.57</c:v>
                </c:pt>
                <c:pt idx="136">
                  <c:v>106.88</c:v>
                </c:pt>
                <c:pt idx="137">
                  <c:v>105.78</c:v>
                </c:pt>
                <c:pt idx="138">
                  <c:v>105.09</c:v>
                </c:pt>
                <c:pt idx="139">
                  <c:v>104.87</c:v>
                </c:pt>
                <c:pt idx="140">
                  <c:v>104.77</c:v>
                </c:pt>
                <c:pt idx="141">
                  <c:v>104.98</c:v>
                </c:pt>
                <c:pt idx="142">
                  <c:v>103.55</c:v>
                </c:pt>
                <c:pt idx="143">
                  <c:v>103.26</c:v>
                </c:pt>
                <c:pt idx="144">
                  <c:v>104.2</c:v>
                </c:pt>
                <c:pt idx="145">
                  <c:v>103.37</c:v>
                </c:pt>
                <c:pt idx="146">
                  <c:v>103.92</c:v>
                </c:pt>
                <c:pt idx="147">
                  <c:v>104.63</c:v>
                </c:pt>
                <c:pt idx="148">
                  <c:v>104.76</c:v>
                </c:pt>
                <c:pt idx="149">
                  <c:v>106.97</c:v>
                </c:pt>
                <c:pt idx="150">
                  <c:v>108.93</c:v>
                </c:pt>
                <c:pt idx="151">
                  <c:v>109.18</c:v>
                </c:pt>
                <c:pt idx="152">
                  <c:v>110.14</c:v>
                </c:pt>
                <c:pt idx="153">
                  <c:v>108.73</c:v>
                </c:pt>
                <c:pt idx="154">
                  <c:v>107.72</c:v>
                </c:pt>
                <c:pt idx="155">
                  <c:v>108.1</c:v>
                </c:pt>
                <c:pt idx="156">
                  <c:v>107.26</c:v>
                </c:pt>
                <c:pt idx="157">
                  <c:v>105.9</c:v>
                </c:pt>
                <c:pt idx="158">
                  <c:v>105.42</c:v>
                </c:pt>
                <c:pt idx="159">
                  <c:v>105.15</c:v>
                </c:pt>
                <c:pt idx="160">
                  <c:v>108.95</c:v>
                </c:pt>
                <c:pt idx="161">
                  <c:v>109.5</c:v>
                </c:pt>
                <c:pt idx="162">
                  <c:v>110.16</c:v>
                </c:pt>
                <c:pt idx="163">
                  <c:v>111.15</c:v>
                </c:pt>
                <c:pt idx="164">
                  <c:v>112.62</c:v>
                </c:pt>
                <c:pt idx="165">
                  <c:v>112.14</c:v>
                </c:pt>
                <c:pt idx="166">
                  <c:v>111.03</c:v>
                </c:pt>
                <c:pt idx="167">
                  <c:v>111.41</c:v>
                </c:pt>
                <c:pt idx="168">
                  <c:v>108.41</c:v>
                </c:pt>
                <c:pt idx="169">
                  <c:v>109.47</c:v>
                </c:pt>
                <c:pt idx="170">
                  <c:v>108.35</c:v>
                </c:pt>
                <c:pt idx="171">
                  <c:v>106.58</c:v>
                </c:pt>
                <c:pt idx="172">
                  <c:v>105.18</c:v>
                </c:pt>
                <c:pt idx="173">
                  <c:v>106.72</c:v>
                </c:pt>
                <c:pt idx="174">
                  <c:v>107.32</c:v>
                </c:pt>
                <c:pt idx="175">
                  <c:v>105.74</c:v>
                </c:pt>
                <c:pt idx="176">
                  <c:v>105.71</c:v>
                </c:pt>
                <c:pt idx="177">
                  <c:v>109.02</c:v>
                </c:pt>
                <c:pt idx="178">
                  <c:v>111.91</c:v>
                </c:pt>
                <c:pt idx="179">
                  <c:v>110.44</c:v>
                </c:pt>
                <c:pt idx="180">
                  <c:v>111.23</c:v>
                </c:pt>
                <c:pt idx="181">
                  <c:v>109.75</c:v>
                </c:pt>
                <c:pt idx="182">
                  <c:v>109.39</c:v>
                </c:pt>
                <c:pt idx="183">
                  <c:v>107.06</c:v>
                </c:pt>
                <c:pt idx="184">
                  <c:v>106.65</c:v>
                </c:pt>
                <c:pt idx="185">
                  <c:v>104.61</c:v>
                </c:pt>
                <c:pt idx="186">
                  <c:v>102.42</c:v>
                </c:pt>
                <c:pt idx="187">
                  <c:v>101.73</c:v>
                </c:pt>
                <c:pt idx="188">
                  <c:v>99.35</c:v>
                </c:pt>
                <c:pt idx="189">
                  <c:v>99.81</c:v>
                </c:pt>
                <c:pt idx="190">
                  <c:v>101.28</c:v>
                </c:pt>
                <c:pt idx="191">
                  <c:v>100.54</c:v>
                </c:pt>
                <c:pt idx="192">
                  <c:v>99.81</c:v>
                </c:pt>
                <c:pt idx="193">
                  <c:v>100.19</c:v>
                </c:pt>
                <c:pt idx="194">
                  <c:v>99.63</c:v>
                </c:pt>
                <c:pt idx="195">
                  <c:v>101</c:v>
                </c:pt>
                <c:pt idx="196">
                  <c:v>100.52</c:v>
                </c:pt>
                <c:pt idx="197">
                  <c:v>100.47</c:v>
                </c:pt>
                <c:pt idx="198">
                  <c:v>101.14</c:v>
                </c:pt>
                <c:pt idx="199">
                  <c:v>102.4</c:v>
                </c:pt>
                <c:pt idx="200">
                  <c:v>103.88</c:v>
                </c:pt>
                <c:pt idx="201">
                  <c:v>105.56</c:v>
                </c:pt>
                <c:pt idx="202">
                  <c:v>105.94</c:v>
                </c:pt>
                <c:pt idx="203">
                  <c:v>104.88</c:v>
                </c:pt>
                <c:pt idx="204">
                  <c:v>105.82</c:v>
                </c:pt>
                <c:pt idx="205">
                  <c:v>105.53</c:v>
                </c:pt>
                <c:pt idx="206">
                  <c:v>103.75</c:v>
                </c:pt>
                <c:pt idx="207">
                  <c:v>102.55</c:v>
                </c:pt>
                <c:pt idx="208">
                  <c:v>101.14</c:v>
                </c:pt>
                <c:pt idx="209">
                  <c:v>101.23</c:v>
                </c:pt>
                <c:pt idx="210">
                  <c:v>99.84</c:v>
                </c:pt>
                <c:pt idx="211">
                  <c:v>102.68</c:v>
                </c:pt>
                <c:pt idx="212">
                  <c:v>102.27</c:v>
                </c:pt>
                <c:pt idx="213">
                  <c:v>102.12</c:v>
                </c:pt>
                <c:pt idx="214">
                  <c:v>104.76</c:v>
                </c:pt>
                <c:pt idx="215">
                  <c:v>105.02</c:v>
                </c:pt>
                <c:pt idx="216">
                  <c:v>104.96</c:v>
                </c:pt>
                <c:pt idx="217">
                  <c:v>105.02</c:v>
                </c:pt>
                <c:pt idx="218">
                  <c:v>103.8</c:v>
                </c:pt>
                <c:pt idx="219">
                  <c:v>104.7</c:v>
                </c:pt>
                <c:pt idx="220">
                  <c:v>101.85</c:v>
                </c:pt>
                <c:pt idx="221">
                  <c:v>103.37</c:v>
                </c:pt>
                <c:pt idx="222">
                  <c:v>100.73</c:v>
                </c:pt>
                <c:pt idx="223">
                  <c:v>99.68</c:v>
                </c:pt>
                <c:pt idx="224">
                  <c:v>99.96</c:v>
                </c:pt>
                <c:pt idx="225">
                  <c:v>99.71</c:v>
                </c:pt>
                <c:pt idx="226">
                  <c:v>96.61</c:v>
                </c:pt>
                <c:pt idx="227">
                  <c:v>102.29</c:v>
                </c:pt>
                <c:pt idx="228">
                  <c:v>97.42</c:v>
                </c:pt>
                <c:pt idx="229">
                  <c:v>99.52</c:v>
                </c:pt>
                <c:pt idx="230">
                  <c:v>100.87</c:v>
                </c:pt>
                <c:pt idx="231">
                  <c:v>108.7</c:v>
                </c:pt>
                <c:pt idx="232">
                  <c:v>114.73</c:v>
                </c:pt>
                <c:pt idx="233">
                  <c:v>115.09</c:v>
                </c:pt>
                <c:pt idx="234">
                  <c:v>114.98</c:v>
                </c:pt>
                <c:pt idx="235">
                  <c:v>113.82</c:v>
                </c:pt>
                <c:pt idx="236">
                  <c:v>113.97</c:v>
                </c:pt>
                <c:pt idx="237">
                  <c:v>114.34</c:v>
                </c:pt>
                <c:pt idx="238">
                  <c:v>112.72</c:v>
                </c:pt>
                <c:pt idx="239">
                  <c:v>111.95</c:v>
                </c:pt>
                <c:pt idx="240">
                  <c:v>111.66</c:v>
                </c:pt>
                <c:pt idx="241">
                  <c:v>112.05</c:v>
                </c:pt>
                <c:pt idx="242">
                  <c:v>111.58</c:v>
                </c:pt>
                <c:pt idx="243">
                  <c:v>109.87</c:v>
                </c:pt>
                <c:pt idx="244">
                  <c:v>109.98</c:v>
                </c:pt>
                <c:pt idx="245">
                  <c:v>108.18</c:v>
                </c:pt>
                <c:pt idx="246">
                  <c:v>105.06</c:v>
                </c:pt>
                <c:pt idx="247">
                  <c:v>105.5</c:v>
                </c:pt>
                <c:pt idx="248">
                  <c:v>105.53</c:v>
                </c:pt>
                <c:pt idx="249">
                  <c:v>108.09</c:v>
                </c:pt>
                <c:pt idx="250">
                  <c:v>105.4</c:v>
                </c:pt>
                <c:pt idx="251">
                  <c:v>104.05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4-3348-AC20-DF55D997294A}"/>
            </c:ext>
          </c:extLst>
        </c:ser>
        <c:ser>
          <c:idx val="1"/>
          <c:order val="1"/>
          <c:tx>
            <c:v>CVX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Close1!$A$2:$A$253</c:f>
              <c:numCache>
                <c:formatCode>d\-mmm\-yy</c:formatCode>
                <c:ptCount val="252"/>
                <c:pt idx="0">
                  <c:v>46087</c:v>
                </c:pt>
                <c:pt idx="1">
                  <c:v>46086</c:v>
                </c:pt>
                <c:pt idx="2">
                  <c:v>46085</c:v>
                </c:pt>
                <c:pt idx="3">
                  <c:v>46084</c:v>
                </c:pt>
                <c:pt idx="4">
                  <c:v>46083</c:v>
                </c:pt>
                <c:pt idx="5">
                  <c:v>46080</c:v>
                </c:pt>
                <c:pt idx="6">
                  <c:v>46079</c:v>
                </c:pt>
                <c:pt idx="7">
                  <c:v>46078</c:v>
                </c:pt>
                <c:pt idx="8">
                  <c:v>46077</c:v>
                </c:pt>
                <c:pt idx="9">
                  <c:v>46076</c:v>
                </c:pt>
                <c:pt idx="10">
                  <c:v>46073</c:v>
                </c:pt>
                <c:pt idx="11">
                  <c:v>46072</c:v>
                </c:pt>
                <c:pt idx="12">
                  <c:v>46071</c:v>
                </c:pt>
                <c:pt idx="13">
                  <c:v>46070</c:v>
                </c:pt>
                <c:pt idx="14">
                  <c:v>46066</c:v>
                </c:pt>
                <c:pt idx="15">
                  <c:v>46065</c:v>
                </c:pt>
                <c:pt idx="16">
                  <c:v>46064</c:v>
                </c:pt>
                <c:pt idx="17">
                  <c:v>46063</c:v>
                </c:pt>
                <c:pt idx="18">
                  <c:v>46062</c:v>
                </c:pt>
                <c:pt idx="19">
                  <c:v>46059</c:v>
                </c:pt>
                <c:pt idx="20">
                  <c:v>46058</c:v>
                </c:pt>
                <c:pt idx="21">
                  <c:v>46057</c:v>
                </c:pt>
                <c:pt idx="22">
                  <c:v>46056</c:v>
                </c:pt>
                <c:pt idx="23">
                  <c:v>46055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46048</c:v>
                </c:pt>
                <c:pt idx="29">
                  <c:v>46045</c:v>
                </c:pt>
                <c:pt idx="30">
                  <c:v>46044</c:v>
                </c:pt>
                <c:pt idx="31">
                  <c:v>46043</c:v>
                </c:pt>
                <c:pt idx="32">
                  <c:v>46042</c:v>
                </c:pt>
                <c:pt idx="33">
                  <c:v>46038</c:v>
                </c:pt>
                <c:pt idx="34">
                  <c:v>46037</c:v>
                </c:pt>
                <c:pt idx="35">
                  <c:v>46036</c:v>
                </c:pt>
                <c:pt idx="36">
                  <c:v>46035</c:v>
                </c:pt>
                <c:pt idx="37">
                  <c:v>46034</c:v>
                </c:pt>
                <c:pt idx="38">
                  <c:v>46031</c:v>
                </c:pt>
                <c:pt idx="39">
                  <c:v>46030</c:v>
                </c:pt>
                <c:pt idx="40">
                  <c:v>46029</c:v>
                </c:pt>
                <c:pt idx="41">
                  <c:v>46028</c:v>
                </c:pt>
                <c:pt idx="42">
                  <c:v>46027</c:v>
                </c:pt>
                <c:pt idx="43">
                  <c:v>46024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45987</c:v>
                </c:pt>
                <c:pt idx="68">
                  <c:v>45986</c:v>
                </c:pt>
                <c:pt idx="69">
                  <c:v>45985</c:v>
                </c:pt>
                <c:pt idx="70">
                  <c:v>45982</c:v>
                </c:pt>
                <c:pt idx="71">
                  <c:v>45981</c:v>
                </c:pt>
                <c:pt idx="72">
                  <c:v>45980</c:v>
                </c:pt>
                <c:pt idx="73">
                  <c:v>45979</c:v>
                </c:pt>
                <c:pt idx="74">
                  <c:v>45978</c:v>
                </c:pt>
                <c:pt idx="75">
                  <c:v>45975</c:v>
                </c:pt>
                <c:pt idx="76">
                  <c:v>45974</c:v>
                </c:pt>
                <c:pt idx="77">
                  <c:v>45973</c:v>
                </c:pt>
                <c:pt idx="78">
                  <c:v>45972</c:v>
                </c:pt>
                <c:pt idx="79">
                  <c:v>45971</c:v>
                </c:pt>
                <c:pt idx="80">
                  <c:v>45968</c:v>
                </c:pt>
                <c:pt idx="81">
                  <c:v>45967</c:v>
                </c:pt>
                <c:pt idx="82">
                  <c:v>45966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45952</c:v>
                </c:pt>
                <c:pt idx="93">
                  <c:v>45951</c:v>
                </c:pt>
                <c:pt idx="94">
                  <c:v>45950</c:v>
                </c:pt>
                <c:pt idx="95">
                  <c:v>45947</c:v>
                </c:pt>
                <c:pt idx="96">
                  <c:v>45946</c:v>
                </c:pt>
                <c:pt idx="97">
                  <c:v>45945</c:v>
                </c:pt>
                <c:pt idx="98">
                  <c:v>45944</c:v>
                </c:pt>
                <c:pt idx="99">
                  <c:v>45943</c:v>
                </c:pt>
                <c:pt idx="100">
                  <c:v>45940</c:v>
                </c:pt>
                <c:pt idx="101">
                  <c:v>45939</c:v>
                </c:pt>
                <c:pt idx="102">
                  <c:v>45938</c:v>
                </c:pt>
                <c:pt idx="103">
                  <c:v>45937</c:v>
                </c:pt>
                <c:pt idx="104">
                  <c:v>45936</c:v>
                </c:pt>
                <c:pt idx="105">
                  <c:v>45933</c:v>
                </c:pt>
                <c:pt idx="106">
                  <c:v>45932</c:v>
                </c:pt>
                <c:pt idx="107">
                  <c:v>45931</c:v>
                </c:pt>
                <c:pt idx="108">
                  <c:v>45930</c:v>
                </c:pt>
                <c:pt idx="109">
                  <c:v>45929</c:v>
                </c:pt>
                <c:pt idx="110">
                  <c:v>45926</c:v>
                </c:pt>
                <c:pt idx="111">
                  <c:v>45925</c:v>
                </c:pt>
                <c:pt idx="112">
                  <c:v>45924</c:v>
                </c:pt>
                <c:pt idx="113">
                  <c:v>45923</c:v>
                </c:pt>
                <c:pt idx="114">
                  <c:v>45922</c:v>
                </c:pt>
                <c:pt idx="115">
                  <c:v>45919</c:v>
                </c:pt>
                <c:pt idx="116">
                  <c:v>45918</c:v>
                </c:pt>
                <c:pt idx="117">
                  <c:v>45917</c:v>
                </c:pt>
                <c:pt idx="118">
                  <c:v>45916</c:v>
                </c:pt>
                <c:pt idx="119">
                  <c:v>45915</c:v>
                </c:pt>
                <c:pt idx="120">
                  <c:v>45912</c:v>
                </c:pt>
                <c:pt idx="121">
                  <c:v>45911</c:v>
                </c:pt>
                <c:pt idx="122">
                  <c:v>45910</c:v>
                </c:pt>
                <c:pt idx="123">
                  <c:v>45909</c:v>
                </c:pt>
                <c:pt idx="124">
                  <c:v>45908</c:v>
                </c:pt>
                <c:pt idx="125">
                  <c:v>45905</c:v>
                </c:pt>
                <c:pt idx="126">
                  <c:v>45904</c:v>
                </c:pt>
                <c:pt idx="127">
                  <c:v>45903</c:v>
                </c:pt>
                <c:pt idx="128">
                  <c:v>45902</c:v>
                </c:pt>
                <c:pt idx="129">
                  <c:v>45898</c:v>
                </c:pt>
                <c:pt idx="130">
                  <c:v>45897</c:v>
                </c:pt>
                <c:pt idx="131">
                  <c:v>45896</c:v>
                </c:pt>
                <c:pt idx="132">
                  <c:v>45895</c:v>
                </c:pt>
                <c:pt idx="133">
                  <c:v>45894</c:v>
                </c:pt>
                <c:pt idx="134">
                  <c:v>45891</c:v>
                </c:pt>
                <c:pt idx="135">
                  <c:v>45890</c:v>
                </c:pt>
                <c:pt idx="136">
                  <c:v>45889</c:v>
                </c:pt>
                <c:pt idx="137">
                  <c:v>45888</c:v>
                </c:pt>
                <c:pt idx="138">
                  <c:v>45887</c:v>
                </c:pt>
                <c:pt idx="139">
                  <c:v>45884</c:v>
                </c:pt>
                <c:pt idx="140">
                  <c:v>45883</c:v>
                </c:pt>
                <c:pt idx="141">
                  <c:v>45882</c:v>
                </c:pt>
                <c:pt idx="142">
                  <c:v>45881</c:v>
                </c:pt>
                <c:pt idx="143">
                  <c:v>45880</c:v>
                </c:pt>
                <c:pt idx="144">
                  <c:v>45877</c:v>
                </c:pt>
                <c:pt idx="145">
                  <c:v>45876</c:v>
                </c:pt>
                <c:pt idx="146">
                  <c:v>45875</c:v>
                </c:pt>
                <c:pt idx="147">
                  <c:v>45874</c:v>
                </c:pt>
                <c:pt idx="148">
                  <c:v>45873</c:v>
                </c:pt>
                <c:pt idx="149">
                  <c:v>45870</c:v>
                </c:pt>
                <c:pt idx="150">
                  <c:v>45869</c:v>
                </c:pt>
                <c:pt idx="151">
                  <c:v>45868</c:v>
                </c:pt>
                <c:pt idx="152">
                  <c:v>45867</c:v>
                </c:pt>
                <c:pt idx="153">
                  <c:v>45866</c:v>
                </c:pt>
                <c:pt idx="154">
                  <c:v>45863</c:v>
                </c:pt>
                <c:pt idx="155">
                  <c:v>45862</c:v>
                </c:pt>
                <c:pt idx="156">
                  <c:v>45861</c:v>
                </c:pt>
                <c:pt idx="157">
                  <c:v>45860</c:v>
                </c:pt>
                <c:pt idx="158">
                  <c:v>45859</c:v>
                </c:pt>
                <c:pt idx="159">
                  <c:v>45856</c:v>
                </c:pt>
                <c:pt idx="160">
                  <c:v>45855</c:v>
                </c:pt>
                <c:pt idx="161">
                  <c:v>45854</c:v>
                </c:pt>
                <c:pt idx="162">
                  <c:v>45853</c:v>
                </c:pt>
                <c:pt idx="163">
                  <c:v>45852</c:v>
                </c:pt>
                <c:pt idx="164">
                  <c:v>45849</c:v>
                </c:pt>
                <c:pt idx="165">
                  <c:v>45848</c:v>
                </c:pt>
                <c:pt idx="166">
                  <c:v>45847</c:v>
                </c:pt>
                <c:pt idx="167">
                  <c:v>45846</c:v>
                </c:pt>
                <c:pt idx="168">
                  <c:v>45845</c:v>
                </c:pt>
                <c:pt idx="169">
                  <c:v>45841</c:v>
                </c:pt>
                <c:pt idx="170">
                  <c:v>45840</c:v>
                </c:pt>
                <c:pt idx="171">
                  <c:v>45839</c:v>
                </c:pt>
                <c:pt idx="172">
                  <c:v>45838</c:v>
                </c:pt>
                <c:pt idx="173">
                  <c:v>45835</c:v>
                </c:pt>
                <c:pt idx="174">
                  <c:v>45834</c:v>
                </c:pt>
                <c:pt idx="175">
                  <c:v>45833</c:v>
                </c:pt>
                <c:pt idx="176">
                  <c:v>45832</c:v>
                </c:pt>
                <c:pt idx="177">
                  <c:v>45831</c:v>
                </c:pt>
                <c:pt idx="178">
                  <c:v>45828</c:v>
                </c:pt>
                <c:pt idx="179">
                  <c:v>45826</c:v>
                </c:pt>
                <c:pt idx="180">
                  <c:v>45825</c:v>
                </c:pt>
                <c:pt idx="181">
                  <c:v>45824</c:v>
                </c:pt>
                <c:pt idx="182">
                  <c:v>45821</c:v>
                </c:pt>
                <c:pt idx="183">
                  <c:v>45820</c:v>
                </c:pt>
                <c:pt idx="184">
                  <c:v>45819</c:v>
                </c:pt>
                <c:pt idx="185">
                  <c:v>45818</c:v>
                </c:pt>
                <c:pt idx="186">
                  <c:v>45817</c:v>
                </c:pt>
                <c:pt idx="187">
                  <c:v>45814</c:v>
                </c:pt>
                <c:pt idx="188">
                  <c:v>45813</c:v>
                </c:pt>
                <c:pt idx="189">
                  <c:v>45812</c:v>
                </c:pt>
                <c:pt idx="190">
                  <c:v>45811</c:v>
                </c:pt>
                <c:pt idx="191">
                  <c:v>45810</c:v>
                </c:pt>
                <c:pt idx="192">
                  <c:v>45807</c:v>
                </c:pt>
                <c:pt idx="193">
                  <c:v>45806</c:v>
                </c:pt>
                <c:pt idx="194">
                  <c:v>45805</c:v>
                </c:pt>
                <c:pt idx="195">
                  <c:v>45804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45778</c:v>
                </c:pt>
                <c:pt idx="213">
                  <c:v>45777</c:v>
                </c:pt>
                <c:pt idx="214">
                  <c:v>45776</c:v>
                </c:pt>
                <c:pt idx="215">
                  <c:v>45775</c:v>
                </c:pt>
                <c:pt idx="216">
                  <c:v>45772</c:v>
                </c:pt>
                <c:pt idx="217">
                  <c:v>45771</c:v>
                </c:pt>
                <c:pt idx="218">
                  <c:v>45770</c:v>
                </c:pt>
                <c:pt idx="219">
                  <c:v>45769</c:v>
                </c:pt>
                <c:pt idx="220">
                  <c:v>45768</c:v>
                </c:pt>
                <c:pt idx="221">
                  <c:v>45764</c:v>
                </c:pt>
                <c:pt idx="222">
                  <c:v>45763</c:v>
                </c:pt>
                <c:pt idx="223">
                  <c:v>45762</c:v>
                </c:pt>
                <c:pt idx="224">
                  <c:v>45761</c:v>
                </c:pt>
                <c:pt idx="225">
                  <c:v>45758</c:v>
                </c:pt>
                <c:pt idx="226">
                  <c:v>45757</c:v>
                </c:pt>
                <c:pt idx="227">
                  <c:v>45756</c:v>
                </c:pt>
                <c:pt idx="228">
                  <c:v>45755</c:v>
                </c:pt>
                <c:pt idx="229">
                  <c:v>45754</c:v>
                </c:pt>
                <c:pt idx="230">
                  <c:v>45751</c:v>
                </c:pt>
                <c:pt idx="231">
                  <c:v>45750</c:v>
                </c:pt>
                <c:pt idx="232">
                  <c:v>45749</c:v>
                </c:pt>
                <c:pt idx="233">
                  <c:v>45748</c:v>
                </c:pt>
                <c:pt idx="234">
                  <c:v>45747</c:v>
                </c:pt>
                <c:pt idx="235">
                  <c:v>45744</c:v>
                </c:pt>
                <c:pt idx="236">
                  <c:v>45743</c:v>
                </c:pt>
                <c:pt idx="237">
                  <c:v>45742</c:v>
                </c:pt>
                <c:pt idx="238">
                  <c:v>45741</c:v>
                </c:pt>
                <c:pt idx="239">
                  <c:v>45740</c:v>
                </c:pt>
                <c:pt idx="240">
                  <c:v>45737</c:v>
                </c:pt>
                <c:pt idx="241">
                  <c:v>45736</c:v>
                </c:pt>
                <c:pt idx="242">
                  <c:v>45735</c:v>
                </c:pt>
                <c:pt idx="243">
                  <c:v>45734</c:v>
                </c:pt>
                <c:pt idx="244">
                  <c:v>45733</c:v>
                </c:pt>
                <c:pt idx="245">
                  <c:v>45730</c:v>
                </c:pt>
                <c:pt idx="246">
                  <c:v>45729</c:v>
                </c:pt>
                <c:pt idx="247">
                  <c:v>45728</c:v>
                </c:pt>
                <c:pt idx="248">
                  <c:v>45727</c:v>
                </c:pt>
                <c:pt idx="249">
                  <c:v>45726</c:v>
                </c:pt>
                <c:pt idx="250">
                  <c:v>45723</c:v>
                </c:pt>
                <c:pt idx="251">
                  <c:v>45722</c:v>
                </c:pt>
              </c:numCache>
            </c:numRef>
          </c:cat>
          <c:val>
            <c:numRef>
              <c:f>Close1!$C$2:$C$253</c:f>
              <c:numCache>
                <c:formatCode>General</c:formatCode>
                <c:ptCount val="252"/>
                <c:pt idx="0">
                  <c:v>189.41</c:v>
                </c:pt>
                <c:pt idx="1">
                  <c:v>189.9</c:v>
                </c:pt>
                <c:pt idx="2">
                  <c:v>186.03</c:v>
                </c:pt>
                <c:pt idx="3">
                  <c:v>188.77</c:v>
                </c:pt>
                <c:pt idx="4">
                  <c:v>189.6</c:v>
                </c:pt>
                <c:pt idx="5">
                  <c:v>186.76</c:v>
                </c:pt>
                <c:pt idx="6">
                  <c:v>184.16</c:v>
                </c:pt>
                <c:pt idx="7">
                  <c:v>184.22</c:v>
                </c:pt>
                <c:pt idx="8">
                  <c:v>185.34</c:v>
                </c:pt>
                <c:pt idx="9">
                  <c:v>184.91</c:v>
                </c:pt>
                <c:pt idx="10">
                  <c:v>183.93</c:v>
                </c:pt>
                <c:pt idx="11">
                  <c:v>184.78</c:v>
                </c:pt>
                <c:pt idx="12">
                  <c:v>183.87</c:v>
                </c:pt>
                <c:pt idx="13">
                  <c:v>180.55</c:v>
                </c:pt>
                <c:pt idx="14">
                  <c:v>181.96</c:v>
                </c:pt>
                <c:pt idx="15">
                  <c:v>180.63</c:v>
                </c:pt>
                <c:pt idx="16">
                  <c:v>184.02</c:v>
                </c:pt>
                <c:pt idx="17">
                  <c:v>180.49</c:v>
                </c:pt>
                <c:pt idx="18">
                  <c:v>180.83</c:v>
                </c:pt>
                <c:pt idx="19">
                  <c:v>179.11</c:v>
                </c:pt>
                <c:pt idx="20">
                  <c:v>177.49</c:v>
                </c:pt>
                <c:pt idx="21">
                  <c:v>179.47</c:v>
                </c:pt>
                <c:pt idx="22">
                  <c:v>176.32</c:v>
                </c:pt>
                <c:pt idx="23">
                  <c:v>172.34</c:v>
                </c:pt>
                <c:pt idx="24">
                  <c:v>175.19</c:v>
                </c:pt>
                <c:pt idx="25">
                  <c:v>169.53</c:v>
                </c:pt>
                <c:pt idx="26">
                  <c:v>168.28</c:v>
                </c:pt>
                <c:pt idx="27">
                  <c:v>167.41</c:v>
                </c:pt>
                <c:pt idx="28">
                  <c:v>165.88</c:v>
                </c:pt>
                <c:pt idx="29">
                  <c:v>165.1</c:v>
                </c:pt>
                <c:pt idx="30">
                  <c:v>165.05</c:v>
                </c:pt>
                <c:pt idx="31">
                  <c:v>165.11</c:v>
                </c:pt>
                <c:pt idx="32">
                  <c:v>163.69999999999999</c:v>
                </c:pt>
                <c:pt idx="33">
                  <c:v>164.65</c:v>
                </c:pt>
                <c:pt idx="34">
                  <c:v>164.55</c:v>
                </c:pt>
                <c:pt idx="35">
                  <c:v>165.62</c:v>
                </c:pt>
                <c:pt idx="36">
                  <c:v>162.28</c:v>
                </c:pt>
                <c:pt idx="37">
                  <c:v>160.77000000000001</c:v>
                </c:pt>
                <c:pt idx="38">
                  <c:v>160.54</c:v>
                </c:pt>
                <c:pt idx="39">
                  <c:v>157.71</c:v>
                </c:pt>
                <c:pt idx="40">
                  <c:v>153.69999999999999</c:v>
                </c:pt>
                <c:pt idx="41">
                  <c:v>155.02000000000001</c:v>
                </c:pt>
                <c:pt idx="42">
                  <c:v>162.26</c:v>
                </c:pt>
                <c:pt idx="43">
                  <c:v>154.38999999999999</c:v>
                </c:pt>
                <c:pt idx="44">
                  <c:v>150.93</c:v>
                </c:pt>
                <c:pt idx="45">
                  <c:v>150.83000000000001</c:v>
                </c:pt>
                <c:pt idx="46">
                  <c:v>149.53</c:v>
                </c:pt>
                <c:pt idx="47">
                  <c:v>148.57</c:v>
                </c:pt>
                <c:pt idx="48">
                  <c:v>149.04</c:v>
                </c:pt>
                <c:pt idx="49">
                  <c:v>149.05000000000001</c:v>
                </c:pt>
                <c:pt idx="50">
                  <c:v>148.35</c:v>
                </c:pt>
                <c:pt idx="51">
                  <c:v>146.32</c:v>
                </c:pt>
                <c:pt idx="52">
                  <c:v>146.26</c:v>
                </c:pt>
                <c:pt idx="53">
                  <c:v>148.07</c:v>
                </c:pt>
                <c:pt idx="54">
                  <c:v>145.33000000000001</c:v>
                </c:pt>
                <c:pt idx="55">
                  <c:v>148.35</c:v>
                </c:pt>
                <c:pt idx="56">
                  <c:v>148.54</c:v>
                </c:pt>
                <c:pt idx="57">
                  <c:v>149.26</c:v>
                </c:pt>
                <c:pt idx="58">
                  <c:v>149.94</c:v>
                </c:pt>
                <c:pt idx="59">
                  <c:v>147.05000000000001</c:v>
                </c:pt>
                <c:pt idx="60">
                  <c:v>147.27000000000001</c:v>
                </c:pt>
                <c:pt idx="61">
                  <c:v>148.55000000000001</c:v>
                </c:pt>
                <c:pt idx="62">
                  <c:v>150.78</c:v>
                </c:pt>
                <c:pt idx="63">
                  <c:v>150.12</c:v>
                </c:pt>
                <c:pt idx="64">
                  <c:v>148.79</c:v>
                </c:pt>
                <c:pt idx="65">
                  <c:v>151.06</c:v>
                </c:pt>
                <c:pt idx="66">
                  <c:v>149.66999999999999</c:v>
                </c:pt>
                <c:pt idx="67">
                  <c:v>148.06</c:v>
                </c:pt>
                <c:pt idx="68">
                  <c:v>147.09</c:v>
                </c:pt>
                <c:pt idx="69">
                  <c:v>148.30000000000001</c:v>
                </c:pt>
                <c:pt idx="70">
                  <c:v>148.53</c:v>
                </c:pt>
                <c:pt idx="71">
                  <c:v>148.85</c:v>
                </c:pt>
                <c:pt idx="72">
                  <c:v>150.22999999999999</c:v>
                </c:pt>
                <c:pt idx="73">
                  <c:v>152.13</c:v>
                </c:pt>
                <c:pt idx="74">
                  <c:v>151.63</c:v>
                </c:pt>
                <c:pt idx="75">
                  <c:v>154.37</c:v>
                </c:pt>
                <c:pt idx="76">
                  <c:v>152.37</c:v>
                </c:pt>
                <c:pt idx="77">
                  <c:v>150.16</c:v>
                </c:pt>
                <c:pt idx="78">
                  <c:v>153.02000000000001</c:v>
                </c:pt>
                <c:pt idx="79">
                  <c:v>152.44</c:v>
                </c:pt>
                <c:pt idx="80">
                  <c:v>151.82</c:v>
                </c:pt>
                <c:pt idx="81">
                  <c:v>149.79</c:v>
                </c:pt>
                <c:pt idx="82">
                  <c:v>149.51</c:v>
                </c:pt>
                <c:pt idx="83">
                  <c:v>150.22999999999999</c:v>
                </c:pt>
                <c:pt idx="84">
                  <c:v>150.86000000000001</c:v>
                </c:pt>
                <c:pt idx="85">
                  <c:v>154.47</c:v>
                </c:pt>
                <c:pt idx="86">
                  <c:v>150.35</c:v>
                </c:pt>
                <c:pt idx="87">
                  <c:v>151.9</c:v>
                </c:pt>
                <c:pt idx="88">
                  <c:v>150.94999999999999</c:v>
                </c:pt>
                <c:pt idx="89">
                  <c:v>152.08000000000001</c:v>
                </c:pt>
                <c:pt idx="90">
                  <c:v>152.35</c:v>
                </c:pt>
                <c:pt idx="91">
                  <c:v>153.33000000000001</c:v>
                </c:pt>
                <c:pt idx="92">
                  <c:v>152.36000000000001</c:v>
                </c:pt>
                <c:pt idx="93">
                  <c:v>150.62</c:v>
                </c:pt>
                <c:pt idx="94">
                  <c:v>151.29</c:v>
                </c:pt>
                <c:pt idx="95">
                  <c:v>149.91999999999999</c:v>
                </c:pt>
                <c:pt idx="96">
                  <c:v>148.58000000000001</c:v>
                </c:pt>
                <c:pt idx="97">
                  <c:v>148.97</c:v>
                </c:pt>
                <c:pt idx="98">
                  <c:v>149.25</c:v>
                </c:pt>
                <c:pt idx="99">
                  <c:v>148.81</c:v>
                </c:pt>
                <c:pt idx="100">
                  <c:v>145.83000000000001</c:v>
                </c:pt>
                <c:pt idx="101">
                  <c:v>148.51</c:v>
                </c:pt>
                <c:pt idx="102">
                  <c:v>150.57</c:v>
                </c:pt>
                <c:pt idx="103">
                  <c:v>151.71</c:v>
                </c:pt>
                <c:pt idx="104">
                  <c:v>150.84</c:v>
                </c:pt>
                <c:pt idx="105">
                  <c:v>150.38</c:v>
                </c:pt>
                <c:pt idx="106">
                  <c:v>150.21</c:v>
                </c:pt>
                <c:pt idx="107">
                  <c:v>151.38999999999999</c:v>
                </c:pt>
                <c:pt idx="108">
                  <c:v>152.09</c:v>
                </c:pt>
                <c:pt idx="109">
                  <c:v>152.88</c:v>
                </c:pt>
                <c:pt idx="110">
                  <c:v>156.86000000000001</c:v>
                </c:pt>
                <c:pt idx="111">
                  <c:v>157.41</c:v>
                </c:pt>
                <c:pt idx="112">
                  <c:v>155.9</c:v>
                </c:pt>
                <c:pt idx="113">
                  <c:v>154.16999999999999</c:v>
                </c:pt>
                <c:pt idx="114">
                  <c:v>152.83000000000001</c:v>
                </c:pt>
                <c:pt idx="115">
                  <c:v>152.99</c:v>
                </c:pt>
                <c:pt idx="116">
                  <c:v>155.56</c:v>
                </c:pt>
                <c:pt idx="117">
                  <c:v>156.79</c:v>
                </c:pt>
                <c:pt idx="118">
                  <c:v>156.25</c:v>
                </c:pt>
                <c:pt idx="119">
                  <c:v>154.07</c:v>
                </c:pt>
                <c:pt idx="120">
                  <c:v>153.87</c:v>
                </c:pt>
                <c:pt idx="121">
                  <c:v>154.99</c:v>
                </c:pt>
                <c:pt idx="122">
                  <c:v>154.54</c:v>
                </c:pt>
                <c:pt idx="123">
                  <c:v>151.66</c:v>
                </c:pt>
                <c:pt idx="124">
                  <c:v>150.82</c:v>
                </c:pt>
                <c:pt idx="125">
                  <c:v>150.49</c:v>
                </c:pt>
                <c:pt idx="126">
                  <c:v>154.44</c:v>
                </c:pt>
                <c:pt idx="127">
                  <c:v>154.80000000000001</c:v>
                </c:pt>
                <c:pt idx="128">
                  <c:v>158.49</c:v>
                </c:pt>
                <c:pt idx="129">
                  <c:v>157.29</c:v>
                </c:pt>
                <c:pt idx="130">
                  <c:v>156.03</c:v>
                </c:pt>
                <c:pt idx="131">
                  <c:v>155.96</c:v>
                </c:pt>
                <c:pt idx="132">
                  <c:v>154.11000000000001</c:v>
                </c:pt>
                <c:pt idx="133">
                  <c:v>154.94</c:v>
                </c:pt>
                <c:pt idx="134">
                  <c:v>154.91999999999999</c:v>
                </c:pt>
                <c:pt idx="135">
                  <c:v>152.34</c:v>
                </c:pt>
                <c:pt idx="136">
                  <c:v>150.06</c:v>
                </c:pt>
                <c:pt idx="137">
                  <c:v>148.86000000000001</c:v>
                </c:pt>
                <c:pt idx="138">
                  <c:v>150.44</c:v>
                </c:pt>
                <c:pt idx="139">
                  <c:v>151.63</c:v>
                </c:pt>
                <c:pt idx="140">
                  <c:v>150.29</c:v>
                </c:pt>
                <c:pt idx="141">
                  <c:v>150.97</c:v>
                </c:pt>
                <c:pt idx="142">
                  <c:v>149.59</c:v>
                </c:pt>
                <c:pt idx="143">
                  <c:v>148.63</c:v>
                </c:pt>
                <c:pt idx="144">
                  <c:v>150.13999999999999</c:v>
                </c:pt>
                <c:pt idx="145">
                  <c:v>148.35</c:v>
                </c:pt>
                <c:pt idx="146">
                  <c:v>147.97999999999999</c:v>
                </c:pt>
                <c:pt idx="147">
                  <c:v>148.22999999999999</c:v>
                </c:pt>
                <c:pt idx="148">
                  <c:v>146.30000000000001</c:v>
                </c:pt>
                <c:pt idx="149">
                  <c:v>146.63999999999999</c:v>
                </c:pt>
                <c:pt idx="150">
                  <c:v>146.88</c:v>
                </c:pt>
                <c:pt idx="151">
                  <c:v>148.74</c:v>
                </c:pt>
                <c:pt idx="152">
                  <c:v>152.1</c:v>
                </c:pt>
                <c:pt idx="153">
                  <c:v>151.37</c:v>
                </c:pt>
                <c:pt idx="154">
                  <c:v>149.97999999999999</c:v>
                </c:pt>
                <c:pt idx="155">
                  <c:v>150.94</c:v>
                </c:pt>
                <c:pt idx="156">
                  <c:v>148.31</c:v>
                </c:pt>
                <c:pt idx="157">
                  <c:v>145.33000000000001</c:v>
                </c:pt>
                <c:pt idx="158">
                  <c:v>144.97999999999999</c:v>
                </c:pt>
                <c:pt idx="159">
                  <c:v>145.33000000000001</c:v>
                </c:pt>
                <c:pt idx="160">
                  <c:v>146.63</c:v>
                </c:pt>
                <c:pt idx="161">
                  <c:v>145.21</c:v>
                </c:pt>
                <c:pt idx="162">
                  <c:v>145.96</c:v>
                </c:pt>
                <c:pt idx="163">
                  <c:v>146.88999999999999</c:v>
                </c:pt>
                <c:pt idx="164">
                  <c:v>150.43</c:v>
                </c:pt>
                <c:pt idx="165">
                  <c:v>149.33000000000001</c:v>
                </c:pt>
                <c:pt idx="166">
                  <c:v>148.21</c:v>
                </c:pt>
                <c:pt idx="167">
                  <c:v>148.43</c:v>
                </c:pt>
                <c:pt idx="168">
                  <c:v>142.77000000000001</c:v>
                </c:pt>
                <c:pt idx="169">
                  <c:v>143.71</c:v>
                </c:pt>
                <c:pt idx="170">
                  <c:v>143.33000000000001</c:v>
                </c:pt>
                <c:pt idx="171">
                  <c:v>141</c:v>
                </c:pt>
                <c:pt idx="172">
                  <c:v>138.69</c:v>
                </c:pt>
                <c:pt idx="173">
                  <c:v>139.27000000000001</c:v>
                </c:pt>
                <c:pt idx="174">
                  <c:v>139.9</c:v>
                </c:pt>
                <c:pt idx="175">
                  <c:v>138.72999999999999</c:v>
                </c:pt>
                <c:pt idx="176">
                  <c:v>139.04</c:v>
                </c:pt>
                <c:pt idx="177">
                  <c:v>142.25</c:v>
                </c:pt>
                <c:pt idx="178">
                  <c:v>144.85</c:v>
                </c:pt>
                <c:pt idx="179">
                  <c:v>143.54</c:v>
                </c:pt>
                <c:pt idx="180">
                  <c:v>144.16999999999999</c:v>
                </c:pt>
                <c:pt idx="181">
                  <c:v>141.44</c:v>
                </c:pt>
                <c:pt idx="182">
                  <c:v>141.33000000000001</c:v>
                </c:pt>
                <c:pt idx="183">
                  <c:v>140.41999999999999</c:v>
                </c:pt>
                <c:pt idx="184">
                  <c:v>140.22999999999999</c:v>
                </c:pt>
                <c:pt idx="185">
                  <c:v>138.85</c:v>
                </c:pt>
                <c:pt idx="186">
                  <c:v>136.34</c:v>
                </c:pt>
                <c:pt idx="187">
                  <c:v>135.81</c:v>
                </c:pt>
                <c:pt idx="188">
                  <c:v>132.6</c:v>
                </c:pt>
                <c:pt idx="189">
                  <c:v>133.06</c:v>
                </c:pt>
                <c:pt idx="190">
                  <c:v>135.16999999999999</c:v>
                </c:pt>
                <c:pt idx="191">
                  <c:v>133.51</c:v>
                </c:pt>
                <c:pt idx="192">
                  <c:v>132.41</c:v>
                </c:pt>
                <c:pt idx="193">
                  <c:v>133.58000000000001</c:v>
                </c:pt>
                <c:pt idx="194">
                  <c:v>131.75</c:v>
                </c:pt>
                <c:pt idx="195">
                  <c:v>133.5</c:v>
                </c:pt>
                <c:pt idx="196">
                  <c:v>132.25</c:v>
                </c:pt>
                <c:pt idx="197">
                  <c:v>131.04</c:v>
                </c:pt>
                <c:pt idx="198">
                  <c:v>131.30000000000001</c:v>
                </c:pt>
                <c:pt idx="199">
                  <c:v>132.96</c:v>
                </c:pt>
                <c:pt idx="200">
                  <c:v>134.13999999999999</c:v>
                </c:pt>
                <c:pt idx="201">
                  <c:v>135.97999999999999</c:v>
                </c:pt>
                <c:pt idx="202">
                  <c:v>136.13</c:v>
                </c:pt>
                <c:pt idx="203">
                  <c:v>135.57</c:v>
                </c:pt>
                <c:pt idx="204">
                  <c:v>136.22</c:v>
                </c:pt>
                <c:pt idx="205">
                  <c:v>135.52000000000001</c:v>
                </c:pt>
                <c:pt idx="206">
                  <c:v>132.53</c:v>
                </c:pt>
                <c:pt idx="207">
                  <c:v>131.13999999999999</c:v>
                </c:pt>
                <c:pt idx="208">
                  <c:v>129.94</c:v>
                </c:pt>
                <c:pt idx="209">
                  <c:v>129.76</c:v>
                </c:pt>
                <c:pt idx="210">
                  <c:v>129.66</c:v>
                </c:pt>
                <c:pt idx="211">
                  <c:v>132.54</c:v>
                </c:pt>
                <c:pt idx="212">
                  <c:v>130.38999999999999</c:v>
                </c:pt>
                <c:pt idx="213">
                  <c:v>130.19999999999999</c:v>
                </c:pt>
                <c:pt idx="214">
                  <c:v>133.30000000000001</c:v>
                </c:pt>
                <c:pt idx="215">
                  <c:v>134.07</c:v>
                </c:pt>
                <c:pt idx="216">
                  <c:v>132.76</c:v>
                </c:pt>
                <c:pt idx="217">
                  <c:v>133.08000000000001</c:v>
                </c:pt>
                <c:pt idx="218">
                  <c:v>130.79</c:v>
                </c:pt>
                <c:pt idx="219">
                  <c:v>131.38999999999999</c:v>
                </c:pt>
                <c:pt idx="220">
                  <c:v>127.97</c:v>
                </c:pt>
                <c:pt idx="221">
                  <c:v>131.93</c:v>
                </c:pt>
                <c:pt idx="222">
                  <c:v>129.53</c:v>
                </c:pt>
                <c:pt idx="223">
                  <c:v>128.75</c:v>
                </c:pt>
                <c:pt idx="224">
                  <c:v>129.49</c:v>
                </c:pt>
                <c:pt idx="225">
                  <c:v>129.79</c:v>
                </c:pt>
                <c:pt idx="226">
                  <c:v>129.16999999999999</c:v>
                </c:pt>
                <c:pt idx="227">
                  <c:v>139.74</c:v>
                </c:pt>
                <c:pt idx="228">
                  <c:v>131.03</c:v>
                </c:pt>
                <c:pt idx="229">
                  <c:v>134.11000000000001</c:v>
                </c:pt>
                <c:pt idx="230">
                  <c:v>137.11000000000001</c:v>
                </c:pt>
                <c:pt idx="231">
                  <c:v>149.4</c:v>
                </c:pt>
                <c:pt idx="232">
                  <c:v>159.30000000000001</c:v>
                </c:pt>
                <c:pt idx="233">
                  <c:v>161.25</c:v>
                </c:pt>
                <c:pt idx="234">
                  <c:v>160.09</c:v>
                </c:pt>
                <c:pt idx="235">
                  <c:v>158.94</c:v>
                </c:pt>
                <c:pt idx="236">
                  <c:v>159.47</c:v>
                </c:pt>
                <c:pt idx="237">
                  <c:v>160.74</c:v>
                </c:pt>
                <c:pt idx="238">
                  <c:v>158.79</c:v>
                </c:pt>
                <c:pt idx="239">
                  <c:v>157.91</c:v>
                </c:pt>
                <c:pt idx="240">
                  <c:v>157.66</c:v>
                </c:pt>
                <c:pt idx="241">
                  <c:v>157.66999999999999</c:v>
                </c:pt>
                <c:pt idx="242">
                  <c:v>156.99</c:v>
                </c:pt>
                <c:pt idx="243">
                  <c:v>153.88</c:v>
                </c:pt>
                <c:pt idx="244">
                  <c:v>151.88</c:v>
                </c:pt>
                <c:pt idx="245">
                  <c:v>150.26</c:v>
                </c:pt>
                <c:pt idx="246">
                  <c:v>146.99</c:v>
                </c:pt>
                <c:pt idx="247">
                  <c:v>146.1</c:v>
                </c:pt>
                <c:pt idx="248">
                  <c:v>147.44</c:v>
                </c:pt>
                <c:pt idx="249">
                  <c:v>150.78</c:v>
                </c:pt>
                <c:pt idx="250">
                  <c:v>149.61000000000001</c:v>
                </c:pt>
                <c:pt idx="251">
                  <c:v>146.36000000000001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C4-3348-AC20-DF55D997294A}"/>
            </c:ext>
          </c:extLst>
        </c:ser>
        <c:ser>
          <c:idx val="2"/>
          <c:order val="2"/>
          <c:tx>
            <c:v>USO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Close1!$A$2:$A$253</c:f>
              <c:numCache>
                <c:formatCode>d\-mmm\-yy</c:formatCode>
                <c:ptCount val="252"/>
                <c:pt idx="0">
                  <c:v>46087</c:v>
                </c:pt>
                <c:pt idx="1">
                  <c:v>46086</c:v>
                </c:pt>
                <c:pt idx="2">
                  <c:v>46085</c:v>
                </c:pt>
                <c:pt idx="3">
                  <c:v>46084</c:v>
                </c:pt>
                <c:pt idx="4">
                  <c:v>46083</c:v>
                </c:pt>
                <c:pt idx="5">
                  <c:v>46080</c:v>
                </c:pt>
                <c:pt idx="6">
                  <c:v>46079</c:v>
                </c:pt>
                <c:pt idx="7">
                  <c:v>46078</c:v>
                </c:pt>
                <c:pt idx="8">
                  <c:v>46077</c:v>
                </c:pt>
                <c:pt idx="9">
                  <c:v>46076</c:v>
                </c:pt>
                <c:pt idx="10">
                  <c:v>46073</c:v>
                </c:pt>
                <c:pt idx="11">
                  <c:v>46072</c:v>
                </c:pt>
                <c:pt idx="12">
                  <c:v>46071</c:v>
                </c:pt>
                <c:pt idx="13">
                  <c:v>46070</c:v>
                </c:pt>
                <c:pt idx="14">
                  <c:v>46066</c:v>
                </c:pt>
                <c:pt idx="15">
                  <c:v>46065</c:v>
                </c:pt>
                <c:pt idx="16">
                  <c:v>46064</c:v>
                </c:pt>
                <c:pt idx="17">
                  <c:v>46063</c:v>
                </c:pt>
                <c:pt idx="18">
                  <c:v>46062</c:v>
                </c:pt>
                <c:pt idx="19">
                  <c:v>46059</c:v>
                </c:pt>
                <c:pt idx="20">
                  <c:v>46058</c:v>
                </c:pt>
                <c:pt idx="21">
                  <c:v>46057</c:v>
                </c:pt>
                <c:pt idx="22">
                  <c:v>46056</c:v>
                </c:pt>
                <c:pt idx="23">
                  <c:v>46055</c:v>
                </c:pt>
                <c:pt idx="24">
                  <c:v>46052</c:v>
                </c:pt>
                <c:pt idx="25">
                  <c:v>46051</c:v>
                </c:pt>
                <c:pt idx="26">
                  <c:v>46050</c:v>
                </c:pt>
                <c:pt idx="27">
                  <c:v>46049</c:v>
                </c:pt>
                <c:pt idx="28">
                  <c:v>46048</c:v>
                </c:pt>
                <c:pt idx="29">
                  <c:v>46045</c:v>
                </c:pt>
                <c:pt idx="30">
                  <c:v>46044</c:v>
                </c:pt>
                <c:pt idx="31">
                  <c:v>46043</c:v>
                </c:pt>
                <c:pt idx="32">
                  <c:v>46042</c:v>
                </c:pt>
                <c:pt idx="33">
                  <c:v>46038</c:v>
                </c:pt>
                <c:pt idx="34">
                  <c:v>46037</c:v>
                </c:pt>
                <c:pt idx="35">
                  <c:v>46036</c:v>
                </c:pt>
                <c:pt idx="36">
                  <c:v>46035</c:v>
                </c:pt>
                <c:pt idx="37">
                  <c:v>46034</c:v>
                </c:pt>
                <c:pt idx="38">
                  <c:v>46031</c:v>
                </c:pt>
                <c:pt idx="39">
                  <c:v>46030</c:v>
                </c:pt>
                <c:pt idx="40">
                  <c:v>46029</c:v>
                </c:pt>
                <c:pt idx="41">
                  <c:v>46028</c:v>
                </c:pt>
                <c:pt idx="42">
                  <c:v>46027</c:v>
                </c:pt>
                <c:pt idx="43">
                  <c:v>46024</c:v>
                </c:pt>
                <c:pt idx="44">
                  <c:v>46022</c:v>
                </c:pt>
                <c:pt idx="45">
                  <c:v>46021</c:v>
                </c:pt>
                <c:pt idx="46">
                  <c:v>46020</c:v>
                </c:pt>
                <c:pt idx="47">
                  <c:v>46017</c:v>
                </c:pt>
                <c:pt idx="48">
                  <c:v>46015</c:v>
                </c:pt>
                <c:pt idx="49">
                  <c:v>46014</c:v>
                </c:pt>
                <c:pt idx="50">
                  <c:v>46013</c:v>
                </c:pt>
                <c:pt idx="51">
                  <c:v>46010</c:v>
                </c:pt>
                <c:pt idx="52">
                  <c:v>46009</c:v>
                </c:pt>
                <c:pt idx="53">
                  <c:v>46008</c:v>
                </c:pt>
                <c:pt idx="54">
                  <c:v>46007</c:v>
                </c:pt>
                <c:pt idx="55">
                  <c:v>46006</c:v>
                </c:pt>
                <c:pt idx="56">
                  <c:v>46003</c:v>
                </c:pt>
                <c:pt idx="57">
                  <c:v>46002</c:v>
                </c:pt>
                <c:pt idx="58">
                  <c:v>46001</c:v>
                </c:pt>
                <c:pt idx="59">
                  <c:v>46000</c:v>
                </c:pt>
                <c:pt idx="60">
                  <c:v>45999</c:v>
                </c:pt>
                <c:pt idx="61">
                  <c:v>45996</c:v>
                </c:pt>
                <c:pt idx="62">
                  <c:v>45995</c:v>
                </c:pt>
                <c:pt idx="63">
                  <c:v>45994</c:v>
                </c:pt>
                <c:pt idx="64">
                  <c:v>45993</c:v>
                </c:pt>
                <c:pt idx="65">
                  <c:v>45992</c:v>
                </c:pt>
                <c:pt idx="66">
                  <c:v>45989</c:v>
                </c:pt>
                <c:pt idx="67">
                  <c:v>45987</c:v>
                </c:pt>
                <c:pt idx="68">
                  <c:v>45986</c:v>
                </c:pt>
                <c:pt idx="69">
                  <c:v>45985</c:v>
                </c:pt>
                <c:pt idx="70">
                  <c:v>45982</c:v>
                </c:pt>
                <c:pt idx="71">
                  <c:v>45981</c:v>
                </c:pt>
                <c:pt idx="72">
                  <c:v>45980</c:v>
                </c:pt>
                <c:pt idx="73">
                  <c:v>45979</c:v>
                </c:pt>
                <c:pt idx="74">
                  <c:v>45978</c:v>
                </c:pt>
                <c:pt idx="75">
                  <c:v>45975</c:v>
                </c:pt>
                <c:pt idx="76">
                  <c:v>45974</c:v>
                </c:pt>
                <c:pt idx="77">
                  <c:v>45973</c:v>
                </c:pt>
                <c:pt idx="78">
                  <c:v>45972</c:v>
                </c:pt>
                <c:pt idx="79">
                  <c:v>45971</c:v>
                </c:pt>
                <c:pt idx="80">
                  <c:v>45968</c:v>
                </c:pt>
                <c:pt idx="81">
                  <c:v>45967</c:v>
                </c:pt>
                <c:pt idx="82">
                  <c:v>45966</c:v>
                </c:pt>
                <c:pt idx="83">
                  <c:v>45965</c:v>
                </c:pt>
                <c:pt idx="84">
                  <c:v>45964</c:v>
                </c:pt>
                <c:pt idx="85">
                  <c:v>45961</c:v>
                </c:pt>
                <c:pt idx="86">
                  <c:v>45960</c:v>
                </c:pt>
                <c:pt idx="87">
                  <c:v>45959</c:v>
                </c:pt>
                <c:pt idx="88">
                  <c:v>45958</c:v>
                </c:pt>
                <c:pt idx="89">
                  <c:v>45957</c:v>
                </c:pt>
                <c:pt idx="90">
                  <c:v>45954</c:v>
                </c:pt>
                <c:pt idx="91">
                  <c:v>45953</c:v>
                </c:pt>
                <c:pt idx="92">
                  <c:v>45952</c:v>
                </c:pt>
                <c:pt idx="93">
                  <c:v>45951</c:v>
                </c:pt>
                <c:pt idx="94">
                  <c:v>45950</c:v>
                </c:pt>
                <c:pt idx="95">
                  <c:v>45947</c:v>
                </c:pt>
                <c:pt idx="96">
                  <c:v>45946</c:v>
                </c:pt>
                <c:pt idx="97">
                  <c:v>45945</c:v>
                </c:pt>
                <c:pt idx="98">
                  <c:v>45944</c:v>
                </c:pt>
                <c:pt idx="99">
                  <c:v>45943</c:v>
                </c:pt>
                <c:pt idx="100">
                  <c:v>45940</c:v>
                </c:pt>
                <c:pt idx="101">
                  <c:v>45939</c:v>
                </c:pt>
                <c:pt idx="102">
                  <c:v>45938</c:v>
                </c:pt>
                <c:pt idx="103">
                  <c:v>45937</c:v>
                </c:pt>
                <c:pt idx="104">
                  <c:v>45936</c:v>
                </c:pt>
                <c:pt idx="105">
                  <c:v>45933</c:v>
                </c:pt>
                <c:pt idx="106">
                  <c:v>45932</c:v>
                </c:pt>
                <c:pt idx="107">
                  <c:v>45931</c:v>
                </c:pt>
                <c:pt idx="108">
                  <c:v>45930</c:v>
                </c:pt>
                <c:pt idx="109">
                  <c:v>45929</c:v>
                </c:pt>
                <c:pt idx="110">
                  <c:v>45926</c:v>
                </c:pt>
                <c:pt idx="111">
                  <c:v>45925</c:v>
                </c:pt>
                <c:pt idx="112">
                  <c:v>45924</c:v>
                </c:pt>
                <c:pt idx="113">
                  <c:v>45923</c:v>
                </c:pt>
                <c:pt idx="114">
                  <c:v>45922</c:v>
                </c:pt>
                <c:pt idx="115">
                  <c:v>45919</c:v>
                </c:pt>
                <c:pt idx="116">
                  <c:v>45918</c:v>
                </c:pt>
                <c:pt idx="117">
                  <c:v>45917</c:v>
                </c:pt>
                <c:pt idx="118">
                  <c:v>45916</c:v>
                </c:pt>
                <c:pt idx="119">
                  <c:v>45915</c:v>
                </c:pt>
                <c:pt idx="120">
                  <c:v>45912</c:v>
                </c:pt>
                <c:pt idx="121">
                  <c:v>45911</c:v>
                </c:pt>
                <c:pt idx="122">
                  <c:v>45910</c:v>
                </c:pt>
                <c:pt idx="123">
                  <c:v>45909</c:v>
                </c:pt>
                <c:pt idx="124">
                  <c:v>45908</c:v>
                </c:pt>
                <c:pt idx="125">
                  <c:v>45905</c:v>
                </c:pt>
                <c:pt idx="126">
                  <c:v>45904</c:v>
                </c:pt>
                <c:pt idx="127">
                  <c:v>45903</c:v>
                </c:pt>
                <c:pt idx="128">
                  <c:v>45902</c:v>
                </c:pt>
                <c:pt idx="129">
                  <c:v>45898</c:v>
                </c:pt>
                <c:pt idx="130">
                  <c:v>45897</c:v>
                </c:pt>
                <c:pt idx="131">
                  <c:v>45896</c:v>
                </c:pt>
                <c:pt idx="132">
                  <c:v>45895</c:v>
                </c:pt>
                <c:pt idx="133">
                  <c:v>45894</c:v>
                </c:pt>
                <c:pt idx="134">
                  <c:v>45891</c:v>
                </c:pt>
                <c:pt idx="135">
                  <c:v>45890</c:v>
                </c:pt>
                <c:pt idx="136">
                  <c:v>45889</c:v>
                </c:pt>
                <c:pt idx="137">
                  <c:v>45888</c:v>
                </c:pt>
                <c:pt idx="138">
                  <c:v>45887</c:v>
                </c:pt>
                <c:pt idx="139">
                  <c:v>45884</c:v>
                </c:pt>
                <c:pt idx="140">
                  <c:v>45883</c:v>
                </c:pt>
                <c:pt idx="141">
                  <c:v>45882</c:v>
                </c:pt>
                <c:pt idx="142">
                  <c:v>45881</c:v>
                </c:pt>
                <c:pt idx="143">
                  <c:v>45880</c:v>
                </c:pt>
                <c:pt idx="144">
                  <c:v>45877</c:v>
                </c:pt>
                <c:pt idx="145">
                  <c:v>45876</c:v>
                </c:pt>
                <c:pt idx="146">
                  <c:v>45875</c:v>
                </c:pt>
                <c:pt idx="147">
                  <c:v>45874</c:v>
                </c:pt>
                <c:pt idx="148">
                  <c:v>45873</c:v>
                </c:pt>
                <c:pt idx="149">
                  <c:v>45870</c:v>
                </c:pt>
                <c:pt idx="150">
                  <c:v>45869</c:v>
                </c:pt>
                <c:pt idx="151">
                  <c:v>45868</c:v>
                </c:pt>
                <c:pt idx="152">
                  <c:v>45867</c:v>
                </c:pt>
                <c:pt idx="153">
                  <c:v>45866</c:v>
                </c:pt>
                <c:pt idx="154">
                  <c:v>45863</c:v>
                </c:pt>
                <c:pt idx="155">
                  <c:v>45862</c:v>
                </c:pt>
                <c:pt idx="156">
                  <c:v>45861</c:v>
                </c:pt>
                <c:pt idx="157">
                  <c:v>45860</c:v>
                </c:pt>
                <c:pt idx="158">
                  <c:v>45859</c:v>
                </c:pt>
                <c:pt idx="159">
                  <c:v>45856</c:v>
                </c:pt>
                <c:pt idx="160">
                  <c:v>45855</c:v>
                </c:pt>
                <c:pt idx="161">
                  <c:v>45854</c:v>
                </c:pt>
                <c:pt idx="162">
                  <c:v>45853</c:v>
                </c:pt>
                <c:pt idx="163">
                  <c:v>45852</c:v>
                </c:pt>
                <c:pt idx="164">
                  <c:v>45849</c:v>
                </c:pt>
                <c:pt idx="165">
                  <c:v>45848</c:v>
                </c:pt>
                <c:pt idx="166">
                  <c:v>45847</c:v>
                </c:pt>
                <c:pt idx="167">
                  <c:v>45846</c:v>
                </c:pt>
                <c:pt idx="168">
                  <c:v>45845</c:v>
                </c:pt>
                <c:pt idx="169">
                  <c:v>45841</c:v>
                </c:pt>
                <c:pt idx="170">
                  <c:v>45840</c:v>
                </c:pt>
                <c:pt idx="171">
                  <c:v>45839</c:v>
                </c:pt>
                <c:pt idx="172">
                  <c:v>45838</c:v>
                </c:pt>
                <c:pt idx="173">
                  <c:v>45835</c:v>
                </c:pt>
                <c:pt idx="174">
                  <c:v>45834</c:v>
                </c:pt>
                <c:pt idx="175">
                  <c:v>45833</c:v>
                </c:pt>
                <c:pt idx="176">
                  <c:v>45832</c:v>
                </c:pt>
                <c:pt idx="177">
                  <c:v>45831</c:v>
                </c:pt>
                <c:pt idx="178">
                  <c:v>45828</c:v>
                </c:pt>
                <c:pt idx="179">
                  <c:v>45826</c:v>
                </c:pt>
                <c:pt idx="180">
                  <c:v>45825</c:v>
                </c:pt>
                <c:pt idx="181">
                  <c:v>45824</c:v>
                </c:pt>
                <c:pt idx="182">
                  <c:v>45821</c:v>
                </c:pt>
                <c:pt idx="183">
                  <c:v>45820</c:v>
                </c:pt>
                <c:pt idx="184">
                  <c:v>45819</c:v>
                </c:pt>
                <c:pt idx="185">
                  <c:v>45818</c:v>
                </c:pt>
                <c:pt idx="186">
                  <c:v>45817</c:v>
                </c:pt>
                <c:pt idx="187">
                  <c:v>45814</c:v>
                </c:pt>
                <c:pt idx="188">
                  <c:v>45813</c:v>
                </c:pt>
                <c:pt idx="189">
                  <c:v>45812</c:v>
                </c:pt>
                <c:pt idx="190">
                  <c:v>45811</c:v>
                </c:pt>
                <c:pt idx="191">
                  <c:v>45810</c:v>
                </c:pt>
                <c:pt idx="192">
                  <c:v>45807</c:v>
                </c:pt>
                <c:pt idx="193">
                  <c:v>45806</c:v>
                </c:pt>
                <c:pt idx="194">
                  <c:v>45805</c:v>
                </c:pt>
                <c:pt idx="195">
                  <c:v>45804</c:v>
                </c:pt>
                <c:pt idx="196">
                  <c:v>45800</c:v>
                </c:pt>
                <c:pt idx="197">
                  <c:v>45799</c:v>
                </c:pt>
                <c:pt idx="198">
                  <c:v>45798</c:v>
                </c:pt>
                <c:pt idx="199">
                  <c:v>45797</c:v>
                </c:pt>
                <c:pt idx="200">
                  <c:v>45796</c:v>
                </c:pt>
                <c:pt idx="201">
                  <c:v>45793</c:v>
                </c:pt>
                <c:pt idx="202">
                  <c:v>45792</c:v>
                </c:pt>
                <c:pt idx="203">
                  <c:v>45791</c:v>
                </c:pt>
                <c:pt idx="204">
                  <c:v>45790</c:v>
                </c:pt>
                <c:pt idx="205">
                  <c:v>45789</c:v>
                </c:pt>
                <c:pt idx="206">
                  <c:v>45786</c:v>
                </c:pt>
                <c:pt idx="207">
                  <c:v>45785</c:v>
                </c:pt>
                <c:pt idx="208">
                  <c:v>45784</c:v>
                </c:pt>
                <c:pt idx="209">
                  <c:v>45783</c:v>
                </c:pt>
                <c:pt idx="210">
                  <c:v>45782</c:v>
                </c:pt>
                <c:pt idx="211">
                  <c:v>45779</c:v>
                </c:pt>
                <c:pt idx="212">
                  <c:v>45778</c:v>
                </c:pt>
                <c:pt idx="213">
                  <c:v>45777</c:v>
                </c:pt>
                <c:pt idx="214">
                  <c:v>45776</c:v>
                </c:pt>
                <c:pt idx="215">
                  <c:v>45775</c:v>
                </c:pt>
                <c:pt idx="216">
                  <c:v>45772</c:v>
                </c:pt>
                <c:pt idx="217">
                  <c:v>45771</c:v>
                </c:pt>
                <c:pt idx="218">
                  <c:v>45770</c:v>
                </c:pt>
                <c:pt idx="219">
                  <c:v>45769</c:v>
                </c:pt>
                <c:pt idx="220">
                  <c:v>45768</c:v>
                </c:pt>
                <c:pt idx="221">
                  <c:v>45764</c:v>
                </c:pt>
                <c:pt idx="222">
                  <c:v>45763</c:v>
                </c:pt>
                <c:pt idx="223">
                  <c:v>45762</c:v>
                </c:pt>
                <c:pt idx="224">
                  <c:v>45761</c:v>
                </c:pt>
                <c:pt idx="225">
                  <c:v>45758</c:v>
                </c:pt>
                <c:pt idx="226">
                  <c:v>45757</c:v>
                </c:pt>
                <c:pt idx="227">
                  <c:v>45756</c:v>
                </c:pt>
                <c:pt idx="228">
                  <c:v>45755</c:v>
                </c:pt>
                <c:pt idx="229">
                  <c:v>45754</c:v>
                </c:pt>
                <c:pt idx="230">
                  <c:v>45751</c:v>
                </c:pt>
                <c:pt idx="231">
                  <c:v>45750</c:v>
                </c:pt>
                <c:pt idx="232">
                  <c:v>45749</c:v>
                </c:pt>
                <c:pt idx="233">
                  <c:v>45748</c:v>
                </c:pt>
                <c:pt idx="234">
                  <c:v>45747</c:v>
                </c:pt>
                <c:pt idx="235">
                  <c:v>45744</c:v>
                </c:pt>
                <c:pt idx="236">
                  <c:v>45743</c:v>
                </c:pt>
                <c:pt idx="237">
                  <c:v>45742</c:v>
                </c:pt>
                <c:pt idx="238">
                  <c:v>45741</c:v>
                </c:pt>
                <c:pt idx="239">
                  <c:v>45740</c:v>
                </c:pt>
                <c:pt idx="240">
                  <c:v>45737</c:v>
                </c:pt>
                <c:pt idx="241">
                  <c:v>45736</c:v>
                </c:pt>
                <c:pt idx="242">
                  <c:v>45735</c:v>
                </c:pt>
                <c:pt idx="243">
                  <c:v>45734</c:v>
                </c:pt>
                <c:pt idx="244">
                  <c:v>45733</c:v>
                </c:pt>
                <c:pt idx="245">
                  <c:v>45730</c:v>
                </c:pt>
                <c:pt idx="246">
                  <c:v>45729</c:v>
                </c:pt>
                <c:pt idx="247">
                  <c:v>45728</c:v>
                </c:pt>
                <c:pt idx="248">
                  <c:v>45727</c:v>
                </c:pt>
                <c:pt idx="249">
                  <c:v>45726</c:v>
                </c:pt>
                <c:pt idx="250">
                  <c:v>45723</c:v>
                </c:pt>
                <c:pt idx="251">
                  <c:v>45722</c:v>
                </c:pt>
              </c:numCache>
            </c:numRef>
          </c:cat>
          <c:val>
            <c:numRef>
              <c:f>Close1!$D$2:$D$253</c:f>
              <c:numCache>
                <c:formatCode>General</c:formatCode>
                <c:ptCount val="252"/>
                <c:pt idx="0">
                  <c:v>108.42</c:v>
                </c:pt>
                <c:pt idx="1">
                  <c:v>96.31</c:v>
                </c:pt>
                <c:pt idx="2">
                  <c:v>91.56</c:v>
                </c:pt>
                <c:pt idx="3">
                  <c:v>90.2</c:v>
                </c:pt>
                <c:pt idx="4">
                  <c:v>87.19</c:v>
                </c:pt>
                <c:pt idx="5">
                  <c:v>81.95</c:v>
                </c:pt>
                <c:pt idx="6">
                  <c:v>79.77</c:v>
                </c:pt>
                <c:pt idx="7">
                  <c:v>79.73</c:v>
                </c:pt>
                <c:pt idx="8">
                  <c:v>80.760000000000005</c:v>
                </c:pt>
                <c:pt idx="9">
                  <c:v>80.900000000000006</c:v>
                </c:pt>
                <c:pt idx="10">
                  <c:v>80.849999999999994</c:v>
                </c:pt>
                <c:pt idx="11">
                  <c:v>81.19</c:v>
                </c:pt>
                <c:pt idx="12">
                  <c:v>79.400000000000006</c:v>
                </c:pt>
                <c:pt idx="13">
                  <c:v>75.73</c:v>
                </c:pt>
                <c:pt idx="14">
                  <c:v>76.22</c:v>
                </c:pt>
                <c:pt idx="15">
                  <c:v>76.38</c:v>
                </c:pt>
                <c:pt idx="16">
                  <c:v>78.89</c:v>
                </c:pt>
                <c:pt idx="17">
                  <c:v>78.03</c:v>
                </c:pt>
                <c:pt idx="18">
                  <c:v>78.02</c:v>
                </c:pt>
                <c:pt idx="19">
                  <c:v>76.989999999999995</c:v>
                </c:pt>
                <c:pt idx="20">
                  <c:v>76.69</c:v>
                </c:pt>
                <c:pt idx="21">
                  <c:v>77.88</c:v>
                </c:pt>
                <c:pt idx="22">
                  <c:v>77.47</c:v>
                </c:pt>
                <c:pt idx="23">
                  <c:v>75.33</c:v>
                </c:pt>
                <c:pt idx="24">
                  <c:v>79.52</c:v>
                </c:pt>
                <c:pt idx="25">
                  <c:v>79.14</c:v>
                </c:pt>
                <c:pt idx="26">
                  <c:v>76.62</c:v>
                </c:pt>
                <c:pt idx="27">
                  <c:v>75.66</c:v>
                </c:pt>
                <c:pt idx="28">
                  <c:v>73.48</c:v>
                </c:pt>
                <c:pt idx="29">
                  <c:v>73.95</c:v>
                </c:pt>
                <c:pt idx="30">
                  <c:v>71.819999999999993</c:v>
                </c:pt>
                <c:pt idx="31">
                  <c:v>73.34</c:v>
                </c:pt>
                <c:pt idx="32">
                  <c:v>71.86</c:v>
                </c:pt>
                <c:pt idx="33">
                  <c:v>71.650000000000006</c:v>
                </c:pt>
                <c:pt idx="34">
                  <c:v>71.13</c:v>
                </c:pt>
                <c:pt idx="35">
                  <c:v>72.61</c:v>
                </c:pt>
                <c:pt idx="36">
                  <c:v>73.48</c:v>
                </c:pt>
                <c:pt idx="37">
                  <c:v>71.650000000000006</c:v>
                </c:pt>
                <c:pt idx="38">
                  <c:v>70.78</c:v>
                </c:pt>
                <c:pt idx="39">
                  <c:v>70.540000000000006</c:v>
                </c:pt>
                <c:pt idx="40">
                  <c:v>67.790000000000006</c:v>
                </c:pt>
                <c:pt idx="41">
                  <c:v>68.510000000000005</c:v>
                </c:pt>
                <c:pt idx="42">
                  <c:v>70.22</c:v>
                </c:pt>
                <c:pt idx="43">
                  <c:v>68.959999999999994</c:v>
                </c:pt>
                <c:pt idx="44">
                  <c:v>69.16</c:v>
                </c:pt>
                <c:pt idx="45">
                  <c:v>69.739999999999995</c:v>
                </c:pt>
                <c:pt idx="46">
                  <c:v>69.61</c:v>
                </c:pt>
                <c:pt idx="47">
                  <c:v>68.48</c:v>
                </c:pt>
                <c:pt idx="48">
                  <c:v>70.2</c:v>
                </c:pt>
                <c:pt idx="49">
                  <c:v>70.3</c:v>
                </c:pt>
                <c:pt idx="50">
                  <c:v>69.73</c:v>
                </c:pt>
                <c:pt idx="51">
                  <c:v>68.03</c:v>
                </c:pt>
                <c:pt idx="52">
                  <c:v>67.19</c:v>
                </c:pt>
                <c:pt idx="53">
                  <c:v>67.98</c:v>
                </c:pt>
                <c:pt idx="54">
                  <c:v>66.17</c:v>
                </c:pt>
                <c:pt idx="55">
                  <c:v>67.89</c:v>
                </c:pt>
                <c:pt idx="56">
                  <c:v>68.81</c:v>
                </c:pt>
                <c:pt idx="57">
                  <c:v>69.25</c:v>
                </c:pt>
                <c:pt idx="58">
                  <c:v>70.540000000000006</c:v>
                </c:pt>
                <c:pt idx="59">
                  <c:v>69.86</c:v>
                </c:pt>
                <c:pt idx="60">
                  <c:v>70.489999999999995</c:v>
                </c:pt>
                <c:pt idx="61">
                  <c:v>71.92</c:v>
                </c:pt>
                <c:pt idx="62">
                  <c:v>71.39</c:v>
                </c:pt>
                <c:pt idx="63">
                  <c:v>70.66</c:v>
                </c:pt>
                <c:pt idx="64">
                  <c:v>70.2</c:v>
                </c:pt>
                <c:pt idx="65">
                  <c:v>71.06</c:v>
                </c:pt>
                <c:pt idx="66">
                  <c:v>71.069999999999993</c:v>
                </c:pt>
                <c:pt idx="67">
                  <c:v>70.040000000000006</c:v>
                </c:pt>
                <c:pt idx="68">
                  <c:v>69.25</c:v>
                </c:pt>
                <c:pt idx="69">
                  <c:v>70.42</c:v>
                </c:pt>
                <c:pt idx="70">
                  <c:v>69.3</c:v>
                </c:pt>
                <c:pt idx="71">
                  <c:v>70.150000000000006</c:v>
                </c:pt>
                <c:pt idx="72">
                  <c:v>70.88</c:v>
                </c:pt>
                <c:pt idx="73">
                  <c:v>72.5</c:v>
                </c:pt>
                <c:pt idx="74">
                  <c:v>71.3</c:v>
                </c:pt>
                <c:pt idx="75">
                  <c:v>71.38</c:v>
                </c:pt>
                <c:pt idx="76">
                  <c:v>69.849999999999994</c:v>
                </c:pt>
                <c:pt idx="77">
                  <c:v>69.790000000000006</c:v>
                </c:pt>
                <c:pt idx="78">
                  <c:v>72.72</c:v>
                </c:pt>
                <c:pt idx="79">
                  <c:v>71.680000000000007</c:v>
                </c:pt>
                <c:pt idx="80">
                  <c:v>71.260000000000005</c:v>
                </c:pt>
                <c:pt idx="81">
                  <c:v>70.88</c:v>
                </c:pt>
                <c:pt idx="82">
                  <c:v>71.03</c:v>
                </c:pt>
                <c:pt idx="83">
                  <c:v>71.930000000000007</c:v>
                </c:pt>
                <c:pt idx="84">
                  <c:v>72.739999999999995</c:v>
                </c:pt>
                <c:pt idx="85">
                  <c:v>72.56</c:v>
                </c:pt>
                <c:pt idx="86">
                  <c:v>71.709999999999994</c:v>
                </c:pt>
                <c:pt idx="87">
                  <c:v>71.8</c:v>
                </c:pt>
                <c:pt idx="88">
                  <c:v>71.39</c:v>
                </c:pt>
                <c:pt idx="89">
                  <c:v>73.12</c:v>
                </c:pt>
                <c:pt idx="90">
                  <c:v>73.180000000000007</c:v>
                </c:pt>
                <c:pt idx="91">
                  <c:v>73.290000000000006</c:v>
                </c:pt>
                <c:pt idx="92">
                  <c:v>70.63</c:v>
                </c:pt>
                <c:pt idx="93">
                  <c:v>68.27</c:v>
                </c:pt>
                <c:pt idx="94">
                  <c:v>67.83</c:v>
                </c:pt>
                <c:pt idx="95">
                  <c:v>67.98</c:v>
                </c:pt>
                <c:pt idx="96">
                  <c:v>67.81</c:v>
                </c:pt>
                <c:pt idx="97">
                  <c:v>68.989999999999995</c:v>
                </c:pt>
                <c:pt idx="98">
                  <c:v>69</c:v>
                </c:pt>
                <c:pt idx="99">
                  <c:v>70.28</c:v>
                </c:pt>
                <c:pt idx="100">
                  <c:v>69.39</c:v>
                </c:pt>
                <c:pt idx="101">
                  <c:v>72.510000000000005</c:v>
                </c:pt>
                <c:pt idx="102">
                  <c:v>73.53</c:v>
                </c:pt>
                <c:pt idx="103">
                  <c:v>73.2</c:v>
                </c:pt>
                <c:pt idx="104">
                  <c:v>72.87</c:v>
                </c:pt>
                <c:pt idx="105">
                  <c:v>71.709999999999994</c:v>
                </c:pt>
                <c:pt idx="106">
                  <c:v>71.540000000000006</c:v>
                </c:pt>
                <c:pt idx="107">
                  <c:v>73.14</c:v>
                </c:pt>
                <c:pt idx="108">
                  <c:v>73.75</c:v>
                </c:pt>
                <c:pt idx="109">
                  <c:v>74.59</c:v>
                </c:pt>
                <c:pt idx="110">
                  <c:v>77.02</c:v>
                </c:pt>
                <c:pt idx="111">
                  <c:v>76.989999999999995</c:v>
                </c:pt>
                <c:pt idx="112">
                  <c:v>76.39</c:v>
                </c:pt>
                <c:pt idx="113">
                  <c:v>75.05</c:v>
                </c:pt>
                <c:pt idx="114">
                  <c:v>73.45</c:v>
                </c:pt>
                <c:pt idx="115">
                  <c:v>73.52</c:v>
                </c:pt>
                <c:pt idx="116">
                  <c:v>74.69</c:v>
                </c:pt>
                <c:pt idx="117">
                  <c:v>74.97</c:v>
                </c:pt>
                <c:pt idx="118">
                  <c:v>75.67</c:v>
                </c:pt>
                <c:pt idx="119">
                  <c:v>74.23</c:v>
                </c:pt>
                <c:pt idx="120">
                  <c:v>73.31</c:v>
                </c:pt>
                <c:pt idx="121">
                  <c:v>73</c:v>
                </c:pt>
                <c:pt idx="122">
                  <c:v>74.709999999999994</c:v>
                </c:pt>
                <c:pt idx="123">
                  <c:v>73.39</c:v>
                </c:pt>
                <c:pt idx="124">
                  <c:v>73.040000000000006</c:v>
                </c:pt>
                <c:pt idx="125">
                  <c:v>72.63</c:v>
                </c:pt>
                <c:pt idx="126">
                  <c:v>74.180000000000007</c:v>
                </c:pt>
                <c:pt idx="127">
                  <c:v>74.83</c:v>
                </c:pt>
                <c:pt idx="128">
                  <c:v>76.760000000000005</c:v>
                </c:pt>
                <c:pt idx="129">
                  <c:v>74.84</c:v>
                </c:pt>
                <c:pt idx="130">
                  <c:v>75.239999999999995</c:v>
                </c:pt>
                <c:pt idx="131">
                  <c:v>74.680000000000007</c:v>
                </c:pt>
                <c:pt idx="132">
                  <c:v>74.05</c:v>
                </c:pt>
                <c:pt idx="133">
                  <c:v>75.75</c:v>
                </c:pt>
                <c:pt idx="134">
                  <c:v>74.64</c:v>
                </c:pt>
                <c:pt idx="135">
                  <c:v>74.13</c:v>
                </c:pt>
                <c:pt idx="136">
                  <c:v>73.52</c:v>
                </c:pt>
                <c:pt idx="137">
                  <c:v>72.3</c:v>
                </c:pt>
                <c:pt idx="138">
                  <c:v>73.17</c:v>
                </c:pt>
                <c:pt idx="139">
                  <c:v>72.8</c:v>
                </c:pt>
                <c:pt idx="140">
                  <c:v>73.739999999999995</c:v>
                </c:pt>
                <c:pt idx="141">
                  <c:v>72.459999999999994</c:v>
                </c:pt>
                <c:pt idx="142">
                  <c:v>72.95</c:v>
                </c:pt>
                <c:pt idx="143">
                  <c:v>73.8</c:v>
                </c:pt>
                <c:pt idx="144">
                  <c:v>73.3</c:v>
                </c:pt>
                <c:pt idx="145">
                  <c:v>73.42</c:v>
                </c:pt>
                <c:pt idx="146">
                  <c:v>73.790000000000006</c:v>
                </c:pt>
                <c:pt idx="147">
                  <c:v>75.02</c:v>
                </c:pt>
                <c:pt idx="148">
                  <c:v>76.11</c:v>
                </c:pt>
                <c:pt idx="149">
                  <c:v>77.459999999999994</c:v>
                </c:pt>
                <c:pt idx="150">
                  <c:v>79.59</c:v>
                </c:pt>
                <c:pt idx="151">
                  <c:v>81.040000000000006</c:v>
                </c:pt>
                <c:pt idx="152">
                  <c:v>79.8</c:v>
                </c:pt>
                <c:pt idx="153">
                  <c:v>77.17</c:v>
                </c:pt>
                <c:pt idx="154">
                  <c:v>74.849999999999994</c:v>
                </c:pt>
                <c:pt idx="155">
                  <c:v>76.09</c:v>
                </c:pt>
                <c:pt idx="156">
                  <c:v>75.28</c:v>
                </c:pt>
                <c:pt idx="157">
                  <c:v>75.349999999999994</c:v>
                </c:pt>
                <c:pt idx="158">
                  <c:v>75.59</c:v>
                </c:pt>
                <c:pt idx="159">
                  <c:v>75.930000000000007</c:v>
                </c:pt>
                <c:pt idx="160">
                  <c:v>76.16</c:v>
                </c:pt>
                <c:pt idx="161">
                  <c:v>75.19</c:v>
                </c:pt>
                <c:pt idx="162">
                  <c:v>75.260000000000005</c:v>
                </c:pt>
                <c:pt idx="163">
                  <c:v>75.62</c:v>
                </c:pt>
                <c:pt idx="164">
                  <c:v>77.290000000000006</c:v>
                </c:pt>
                <c:pt idx="165">
                  <c:v>75.39</c:v>
                </c:pt>
                <c:pt idx="166">
                  <c:v>76.930000000000007</c:v>
                </c:pt>
                <c:pt idx="167">
                  <c:v>76.959999999999994</c:v>
                </c:pt>
                <c:pt idx="168">
                  <c:v>76.48</c:v>
                </c:pt>
                <c:pt idx="169">
                  <c:v>75.19</c:v>
                </c:pt>
                <c:pt idx="170">
                  <c:v>75.59</c:v>
                </c:pt>
                <c:pt idx="171">
                  <c:v>73.930000000000007</c:v>
                </c:pt>
                <c:pt idx="172">
                  <c:v>73.11</c:v>
                </c:pt>
                <c:pt idx="173">
                  <c:v>73.28</c:v>
                </c:pt>
                <c:pt idx="174">
                  <c:v>73.59</c:v>
                </c:pt>
                <c:pt idx="175">
                  <c:v>73.31</c:v>
                </c:pt>
                <c:pt idx="176">
                  <c:v>73</c:v>
                </c:pt>
                <c:pt idx="177">
                  <c:v>76.41</c:v>
                </c:pt>
                <c:pt idx="178">
                  <c:v>83.12</c:v>
                </c:pt>
                <c:pt idx="179">
                  <c:v>82.27</c:v>
                </c:pt>
                <c:pt idx="180">
                  <c:v>82.3</c:v>
                </c:pt>
                <c:pt idx="181">
                  <c:v>78.59</c:v>
                </c:pt>
                <c:pt idx="182">
                  <c:v>80.22</c:v>
                </c:pt>
                <c:pt idx="183">
                  <c:v>75.05</c:v>
                </c:pt>
                <c:pt idx="184">
                  <c:v>74.819999999999993</c:v>
                </c:pt>
                <c:pt idx="185">
                  <c:v>71.599999999999994</c:v>
                </c:pt>
                <c:pt idx="186">
                  <c:v>72.05</c:v>
                </c:pt>
                <c:pt idx="187">
                  <c:v>71.38</c:v>
                </c:pt>
                <c:pt idx="188">
                  <c:v>69.930000000000007</c:v>
                </c:pt>
                <c:pt idx="189">
                  <c:v>69.34</c:v>
                </c:pt>
                <c:pt idx="190">
                  <c:v>69.89</c:v>
                </c:pt>
                <c:pt idx="191">
                  <c:v>69.55</c:v>
                </c:pt>
                <c:pt idx="192">
                  <c:v>67.150000000000006</c:v>
                </c:pt>
                <c:pt idx="193">
                  <c:v>67.19</c:v>
                </c:pt>
                <c:pt idx="194">
                  <c:v>67.89</c:v>
                </c:pt>
                <c:pt idx="195">
                  <c:v>67.28</c:v>
                </c:pt>
                <c:pt idx="196">
                  <c:v>67.989999999999995</c:v>
                </c:pt>
                <c:pt idx="197">
                  <c:v>67.14</c:v>
                </c:pt>
                <c:pt idx="198">
                  <c:v>67.59</c:v>
                </c:pt>
                <c:pt idx="199">
                  <c:v>68.66</c:v>
                </c:pt>
                <c:pt idx="200">
                  <c:v>68.510000000000005</c:v>
                </c:pt>
                <c:pt idx="201">
                  <c:v>68.099999999999994</c:v>
                </c:pt>
                <c:pt idx="202">
                  <c:v>67.59</c:v>
                </c:pt>
                <c:pt idx="203">
                  <c:v>68.73</c:v>
                </c:pt>
                <c:pt idx="204">
                  <c:v>69.59</c:v>
                </c:pt>
                <c:pt idx="205">
                  <c:v>67.599999999999994</c:v>
                </c:pt>
                <c:pt idx="206">
                  <c:v>66.61</c:v>
                </c:pt>
                <c:pt idx="207">
                  <c:v>65.599999999999994</c:v>
                </c:pt>
                <c:pt idx="208">
                  <c:v>63.51</c:v>
                </c:pt>
                <c:pt idx="209">
                  <c:v>64.599999999999994</c:v>
                </c:pt>
                <c:pt idx="210">
                  <c:v>62.37</c:v>
                </c:pt>
                <c:pt idx="211">
                  <c:v>64.010000000000005</c:v>
                </c:pt>
                <c:pt idx="212">
                  <c:v>64.52</c:v>
                </c:pt>
                <c:pt idx="213">
                  <c:v>63.56</c:v>
                </c:pt>
                <c:pt idx="214">
                  <c:v>65.849999999999994</c:v>
                </c:pt>
                <c:pt idx="215">
                  <c:v>67.760000000000005</c:v>
                </c:pt>
                <c:pt idx="216">
                  <c:v>69.03</c:v>
                </c:pt>
                <c:pt idx="217">
                  <c:v>68.459999999999994</c:v>
                </c:pt>
                <c:pt idx="218">
                  <c:v>68.05</c:v>
                </c:pt>
                <c:pt idx="219">
                  <c:v>69.37</c:v>
                </c:pt>
                <c:pt idx="220">
                  <c:v>68.62</c:v>
                </c:pt>
                <c:pt idx="221">
                  <c:v>69.48</c:v>
                </c:pt>
                <c:pt idx="222">
                  <c:v>67.75</c:v>
                </c:pt>
                <c:pt idx="223">
                  <c:v>66.48</c:v>
                </c:pt>
                <c:pt idx="224">
                  <c:v>66.66</c:v>
                </c:pt>
                <c:pt idx="225">
                  <c:v>66.459999999999994</c:v>
                </c:pt>
                <c:pt idx="226">
                  <c:v>65.319999999999993</c:v>
                </c:pt>
                <c:pt idx="227">
                  <c:v>67.58</c:v>
                </c:pt>
                <c:pt idx="228">
                  <c:v>63.34</c:v>
                </c:pt>
                <c:pt idx="229">
                  <c:v>65.98</c:v>
                </c:pt>
                <c:pt idx="230">
                  <c:v>67.92</c:v>
                </c:pt>
                <c:pt idx="231">
                  <c:v>72.25</c:v>
                </c:pt>
                <c:pt idx="232">
                  <c:v>77.739999999999995</c:v>
                </c:pt>
                <c:pt idx="233">
                  <c:v>77.08</c:v>
                </c:pt>
                <c:pt idx="234">
                  <c:v>77.33</c:v>
                </c:pt>
                <c:pt idx="235">
                  <c:v>74.77</c:v>
                </c:pt>
                <c:pt idx="236">
                  <c:v>75.48</c:v>
                </c:pt>
                <c:pt idx="237">
                  <c:v>75.42</c:v>
                </c:pt>
                <c:pt idx="238">
                  <c:v>74.819999999999993</c:v>
                </c:pt>
                <c:pt idx="239">
                  <c:v>74.88</c:v>
                </c:pt>
                <c:pt idx="240">
                  <c:v>73.790000000000006</c:v>
                </c:pt>
                <c:pt idx="241">
                  <c:v>73.73</c:v>
                </c:pt>
                <c:pt idx="242">
                  <c:v>72.42</c:v>
                </c:pt>
                <c:pt idx="243">
                  <c:v>72.209999999999994</c:v>
                </c:pt>
                <c:pt idx="244">
                  <c:v>72.709999999999994</c:v>
                </c:pt>
                <c:pt idx="245">
                  <c:v>72.28</c:v>
                </c:pt>
                <c:pt idx="246">
                  <c:v>71.62</c:v>
                </c:pt>
                <c:pt idx="247">
                  <c:v>72.8</c:v>
                </c:pt>
                <c:pt idx="248">
                  <c:v>71.45</c:v>
                </c:pt>
                <c:pt idx="249">
                  <c:v>70.89</c:v>
                </c:pt>
                <c:pt idx="250">
                  <c:v>72.09</c:v>
                </c:pt>
                <c:pt idx="251">
                  <c:v>71.13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C4-3348-AC20-DF55D9972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500352"/>
        <c:axId val="1892507968"/>
      </c:lineChart>
      <c:dateAx>
        <c:axId val="189250035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07968"/>
        <c:crosses val="autoZero"/>
        <c:auto val="1"/>
        <c:lblOffset val="100"/>
        <c:baseTimeUnit val="days"/>
      </c:dateAx>
      <c:valAx>
        <c:axId val="189250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0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179070</xdr:colOff>
      <xdr:row>242</xdr:row>
      <xdr:rowOff>167640</xdr:rowOff>
    </xdr:from>
    <xdr:to>
      <xdr:col>12</xdr:col>
      <xdr:colOff>623570</xdr:colOff>
      <xdr:row>254</xdr:row>
      <xdr:rowOff>187960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56FF0-8A0D-54AA-6C6A-F1C34915E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186268</xdr:colOff>
      <xdr:row>230</xdr:row>
      <xdr:rowOff>160865</xdr:rowOff>
    </xdr:from>
    <xdr:to>
      <xdr:col>12</xdr:col>
      <xdr:colOff>609601</xdr:colOff>
      <xdr:row>242</xdr:row>
      <xdr:rowOff>59265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8A2DA7-47ED-64C9-ACD1-A5A18FE04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491067</xdr:colOff>
      <xdr:row>225</xdr:row>
      <xdr:rowOff>1</xdr:rowOff>
    </xdr:from>
    <xdr:to>
      <xdr:col>12</xdr:col>
      <xdr:colOff>254000</xdr:colOff>
      <xdr:row>230</xdr:row>
      <xdr:rowOff>33867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AD3DEB-72D6-12AB-2D43-2256384A12D5}"/>
            </a:ext>
          </a:extLst>
        </xdr:cNvPr>
        <xdr:cNvSpPr txBox="1"/>
      </xdr:nvSpPr>
      <xdr:spPr>
        <a:xfrm>
          <a:off x="6705600" y="53306134"/>
          <a:ext cx="391160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-Positive correlation between energy stocks and oil prices</a:t>
          </a:r>
        </a:p>
        <a:p>
          <a:r>
            <a:rPr lang="en-US" sz="1600"/>
            <a:t>-Exxon and Chevron show similar return patterns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2146-D1CB-8A4E-9B19-0A83213D8C4A}">
  <dimension ref="A1:K253"/>
  <sheetViews>
    <sheetView tabSelected="1" workbookViewId="0">
      <selection activeCell="F2" sqref="F2:F253"/>
    </sheetView>
  </sheetViews>
  <sheetFormatPr baseColWidth="10" defaultRowHeight="16" x14ac:dyDescent="0.2"/>
  <cols>
    <col min="1" max="1" width="12.6640625" bestFit="1" customWidth="1"/>
    <col min="2" max="6" width="11" bestFit="1" customWidth="1"/>
    <col min="7" max="7" width="13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t="s">
        <v>7</v>
      </c>
      <c r="J1" t="s">
        <v>8</v>
      </c>
      <c r="K1" t="s">
        <v>9</v>
      </c>
    </row>
    <row r="2" spans="1:11" ht="18" x14ac:dyDescent="0.2">
      <c r="A2" s="1">
        <v>46087</v>
      </c>
      <c r="B2" s="2">
        <v>153.15</v>
      </c>
      <c r="C2" s="2">
        <v>153.80000000000001</v>
      </c>
      <c r="D2" s="2">
        <v>149.96</v>
      </c>
      <c r="E2" s="2">
        <v>151.9</v>
      </c>
      <c r="F2" s="2">
        <v>151.9</v>
      </c>
      <c r="G2" s="3">
        <v>10448412</v>
      </c>
      <c r="I2">
        <f>(E3-E2)/E2</f>
        <v>-7.5049374588546068E-3</v>
      </c>
      <c r="J2">
        <f>AVERAGE(E2, E246)</f>
        <v>132.83000000000001</v>
      </c>
      <c r="K2">
        <f>_xlfn.STDEV.S(E2, E246)</f>
        <v>26.96905263445478</v>
      </c>
    </row>
    <row r="3" spans="1:11" ht="18" x14ac:dyDescent="0.2">
      <c r="A3" s="1">
        <v>46086</v>
      </c>
      <c r="B3" s="2">
        <v>151</v>
      </c>
      <c r="C3" s="2">
        <v>152.33000000000001</v>
      </c>
      <c r="D3" s="2">
        <v>149.47</v>
      </c>
      <c r="E3" s="2">
        <v>150.76</v>
      </c>
      <c r="F3" s="2">
        <v>150.76</v>
      </c>
      <c r="G3" s="3">
        <v>22915700</v>
      </c>
      <c r="I3">
        <f>(E4-E3)/E3</f>
        <v>-6.2350756168744878E-3</v>
      </c>
    </row>
    <row r="4" spans="1:11" ht="18" x14ac:dyDescent="0.2">
      <c r="A4" s="1">
        <v>46085</v>
      </c>
      <c r="B4" s="2">
        <v>150.72</v>
      </c>
      <c r="C4" s="2">
        <v>151.16</v>
      </c>
      <c r="D4" s="2">
        <v>147.86000000000001</v>
      </c>
      <c r="E4" s="2">
        <v>149.82</v>
      </c>
      <c r="F4" s="2">
        <v>149.82</v>
      </c>
      <c r="G4" s="3">
        <v>16764800</v>
      </c>
      <c r="I4">
        <f t="shared" ref="I4:I65" si="0">(E5-E4)/E4</f>
        <v>1.3416099319183149E-2</v>
      </c>
    </row>
    <row r="5" spans="1:11" ht="18" x14ac:dyDescent="0.2">
      <c r="A5" s="1">
        <v>46084</v>
      </c>
      <c r="B5" s="2">
        <v>155.43</v>
      </c>
      <c r="C5" s="2">
        <v>156.05000000000001</v>
      </c>
      <c r="D5" s="2">
        <v>150.30000000000001</v>
      </c>
      <c r="E5" s="2">
        <v>151.83000000000001</v>
      </c>
      <c r="F5" s="2">
        <v>151.83000000000001</v>
      </c>
      <c r="G5" s="3">
        <v>25198900</v>
      </c>
      <c r="I5">
        <f t="shared" si="0"/>
        <v>1.5741289600210671E-2</v>
      </c>
    </row>
    <row r="6" spans="1:11" ht="18" x14ac:dyDescent="0.2">
      <c r="A6" s="1">
        <v>46083</v>
      </c>
      <c r="B6" s="2">
        <v>159.35</v>
      </c>
      <c r="C6" s="2">
        <v>159.61000000000001</v>
      </c>
      <c r="D6" s="2">
        <v>153.03</v>
      </c>
      <c r="E6" s="2">
        <v>154.22</v>
      </c>
      <c r="F6" s="2">
        <v>154.22</v>
      </c>
      <c r="G6" s="3">
        <v>31493100</v>
      </c>
      <c r="I6">
        <f t="shared" si="0"/>
        <v>-1.1152898456750091E-2</v>
      </c>
    </row>
    <row r="7" spans="1:11" ht="18" x14ac:dyDescent="0.2">
      <c r="A7" s="1">
        <v>46080</v>
      </c>
      <c r="B7" s="2">
        <v>151</v>
      </c>
      <c r="C7" s="2">
        <v>153.65</v>
      </c>
      <c r="D7" s="2">
        <v>149.25</v>
      </c>
      <c r="E7" s="2">
        <v>152.5</v>
      </c>
      <c r="F7" s="2">
        <v>152.5</v>
      </c>
      <c r="G7" s="3">
        <v>30275100</v>
      </c>
      <c r="I7">
        <f t="shared" si="0"/>
        <v>-2.596721311475415E-2</v>
      </c>
    </row>
    <row r="8" spans="1:11" ht="18" x14ac:dyDescent="0.2">
      <c r="A8" s="1">
        <v>46079</v>
      </c>
      <c r="B8" s="2">
        <v>147.81</v>
      </c>
      <c r="C8" s="2">
        <v>150.96</v>
      </c>
      <c r="D8" s="2">
        <v>146.77000000000001</v>
      </c>
      <c r="E8" s="2">
        <v>148.54</v>
      </c>
      <c r="F8" s="2">
        <v>148.54</v>
      </c>
      <c r="G8" s="3">
        <v>15632100</v>
      </c>
      <c r="I8">
        <f t="shared" si="0"/>
        <v>3.5007405412684142E-3</v>
      </c>
    </row>
    <row r="9" spans="1:11" ht="18" x14ac:dyDescent="0.2">
      <c r="A9" s="1">
        <v>46078</v>
      </c>
      <c r="B9" s="2">
        <v>149.91</v>
      </c>
      <c r="C9" s="2">
        <v>150.18</v>
      </c>
      <c r="D9" s="2">
        <v>147.33000000000001</v>
      </c>
      <c r="E9" s="2">
        <v>149.06</v>
      </c>
      <c r="F9" s="2">
        <v>149.06</v>
      </c>
      <c r="G9" s="3">
        <v>15225700</v>
      </c>
      <c r="I9">
        <f t="shared" si="0"/>
        <v>1.3417415805715056E-3</v>
      </c>
    </row>
    <row r="10" spans="1:11" ht="18" x14ac:dyDescent="0.2">
      <c r="A10" s="1">
        <v>46077</v>
      </c>
      <c r="B10" s="2">
        <v>150.41999999999999</v>
      </c>
      <c r="C10" s="2">
        <v>150.72</v>
      </c>
      <c r="D10" s="2">
        <v>148.03</v>
      </c>
      <c r="E10" s="2">
        <v>149.26</v>
      </c>
      <c r="F10" s="2">
        <v>149.26</v>
      </c>
      <c r="G10" s="3">
        <v>14185500</v>
      </c>
      <c r="I10">
        <f t="shared" si="0"/>
        <v>1.0049577917727455E-2</v>
      </c>
    </row>
    <row r="11" spans="1:11" ht="18" x14ac:dyDescent="0.2">
      <c r="A11" s="1">
        <v>46076</v>
      </c>
      <c r="B11" s="2">
        <v>148.15</v>
      </c>
      <c r="C11" s="2">
        <v>151.27000000000001</v>
      </c>
      <c r="D11" s="2">
        <v>148.13</v>
      </c>
      <c r="E11" s="2">
        <v>150.76</v>
      </c>
      <c r="F11" s="2">
        <v>150.76</v>
      </c>
      <c r="G11" s="3">
        <v>16073100</v>
      </c>
      <c r="I11">
        <f t="shared" si="0"/>
        <v>-2.3083045900769369E-2</v>
      </c>
    </row>
    <row r="12" spans="1:11" ht="18" x14ac:dyDescent="0.2">
      <c r="A12" s="1">
        <v>46073</v>
      </c>
      <c r="B12" s="2">
        <v>150.49</v>
      </c>
      <c r="C12" s="2">
        <v>150.81</v>
      </c>
      <c r="D12" s="2">
        <v>146.46</v>
      </c>
      <c r="E12" s="2">
        <v>147.28</v>
      </c>
      <c r="F12" s="2">
        <v>147.28</v>
      </c>
      <c r="G12" s="3">
        <v>25908600</v>
      </c>
      <c r="I12">
        <f t="shared" si="0"/>
        <v>2.5054318305268861E-2</v>
      </c>
    </row>
    <row r="13" spans="1:11" ht="18" x14ac:dyDescent="0.2">
      <c r="A13" s="1">
        <v>46072</v>
      </c>
      <c r="B13" s="2">
        <v>152.19999999999999</v>
      </c>
      <c r="C13" s="2">
        <v>153.38</v>
      </c>
      <c r="D13" s="2">
        <v>150.84</v>
      </c>
      <c r="E13" s="2">
        <v>150.97</v>
      </c>
      <c r="F13" s="2">
        <v>150.97</v>
      </c>
      <c r="G13" s="3">
        <v>20305000</v>
      </c>
      <c r="I13">
        <f t="shared" si="0"/>
        <v>-1.9209114393587603E-3</v>
      </c>
    </row>
    <row r="14" spans="1:11" ht="18" x14ac:dyDescent="0.2">
      <c r="A14" s="1">
        <v>46071</v>
      </c>
      <c r="B14" s="2">
        <v>148.15</v>
      </c>
      <c r="C14" s="2">
        <v>150.97999999999999</v>
      </c>
      <c r="D14" s="2">
        <v>147.61000000000001</v>
      </c>
      <c r="E14" s="2">
        <v>150.68</v>
      </c>
      <c r="F14" s="2">
        <v>150.68</v>
      </c>
      <c r="G14" s="3">
        <v>19849700</v>
      </c>
      <c r="I14">
        <f t="shared" si="0"/>
        <v>-2.9798247942660002E-2</v>
      </c>
    </row>
    <row r="15" spans="1:11" ht="18" x14ac:dyDescent="0.2">
      <c r="A15" s="1">
        <v>46070</v>
      </c>
      <c r="B15" s="2">
        <v>148.19999999999999</v>
      </c>
      <c r="C15" s="2">
        <v>149.13</v>
      </c>
      <c r="D15" s="2">
        <v>145.15</v>
      </c>
      <c r="E15" s="2">
        <v>146.19</v>
      </c>
      <c r="F15" s="2">
        <v>146.19</v>
      </c>
      <c r="G15" s="3">
        <v>19766600</v>
      </c>
      <c r="I15">
        <f t="shared" si="0"/>
        <v>1.5459333743758061E-2</v>
      </c>
    </row>
    <row r="16" spans="1:11" ht="18" x14ac:dyDescent="0.2">
      <c r="A16" s="1">
        <v>46066</v>
      </c>
      <c r="B16" s="2">
        <v>150.55000000000001</v>
      </c>
      <c r="C16" s="2">
        <v>151.66</v>
      </c>
      <c r="D16" s="2">
        <v>147.97999999999999</v>
      </c>
      <c r="E16" s="2">
        <v>148.44999999999999</v>
      </c>
      <c r="F16" s="2">
        <v>148.44999999999999</v>
      </c>
      <c r="G16" s="3">
        <v>20166000</v>
      </c>
      <c r="I16">
        <f>(E17-E16)/E16</f>
        <v>9.969686763220062E-3</v>
      </c>
    </row>
    <row r="17" spans="1:9" ht="18" x14ac:dyDescent="0.2">
      <c r="A17" s="1">
        <v>46065</v>
      </c>
      <c r="B17" s="2">
        <v>153.88999999999999</v>
      </c>
      <c r="C17" s="2">
        <v>155.25</v>
      </c>
      <c r="D17" s="2">
        <v>149.88</v>
      </c>
      <c r="E17" s="2">
        <v>149.93</v>
      </c>
      <c r="F17" s="2">
        <v>149.93</v>
      </c>
      <c r="G17" s="3">
        <v>30652500</v>
      </c>
      <c r="I17">
        <f t="shared" si="0"/>
        <v>3.7550857066631062E-2</v>
      </c>
    </row>
    <row r="18" spans="1:9" ht="18" x14ac:dyDescent="0.2">
      <c r="A18" s="1">
        <v>46064</v>
      </c>
      <c r="B18" s="2">
        <v>153.97</v>
      </c>
      <c r="C18" s="2">
        <v>156.93</v>
      </c>
      <c r="D18" s="2">
        <v>153.57</v>
      </c>
      <c r="E18" s="2">
        <v>155.56</v>
      </c>
      <c r="F18" s="2">
        <v>154.53</v>
      </c>
      <c r="G18" s="3">
        <v>23091500</v>
      </c>
      <c r="I18">
        <f t="shared" si="0"/>
        <v>-2.5520699408588317E-2</v>
      </c>
    </row>
    <row r="19" spans="1:9" ht="18" x14ac:dyDescent="0.2">
      <c r="A19" s="1">
        <v>46063</v>
      </c>
      <c r="B19" s="2">
        <v>151.35</v>
      </c>
      <c r="C19" s="2">
        <v>151.78</v>
      </c>
      <c r="D19" s="2">
        <v>149.82</v>
      </c>
      <c r="E19" s="2">
        <v>151.59</v>
      </c>
      <c r="F19" s="2">
        <v>150.59</v>
      </c>
      <c r="G19" s="3">
        <v>15800300</v>
      </c>
      <c r="I19">
        <f t="shared" si="0"/>
        <v>-2.5067616597400583E-3</v>
      </c>
    </row>
    <row r="20" spans="1:9" ht="18" x14ac:dyDescent="0.2">
      <c r="A20" s="1">
        <v>46062</v>
      </c>
      <c r="B20" s="2">
        <v>149.26</v>
      </c>
      <c r="C20" s="2">
        <v>151.55000000000001</v>
      </c>
      <c r="D20" s="2">
        <v>148.63</v>
      </c>
      <c r="E20" s="2">
        <v>151.21</v>
      </c>
      <c r="F20" s="2">
        <v>150.21</v>
      </c>
      <c r="G20" s="3">
        <v>21297300</v>
      </c>
      <c r="I20">
        <f t="shared" si="0"/>
        <v>-1.4284769525824989E-2</v>
      </c>
    </row>
    <row r="21" spans="1:9" ht="18" x14ac:dyDescent="0.2">
      <c r="A21" s="1">
        <v>46059</v>
      </c>
      <c r="B21" s="2">
        <v>146.62</v>
      </c>
      <c r="C21" s="2">
        <v>149.57</v>
      </c>
      <c r="D21" s="2">
        <v>146.09</v>
      </c>
      <c r="E21" s="2">
        <v>149.05000000000001</v>
      </c>
      <c r="F21" s="2">
        <v>148.06</v>
      </c>
      <c r="G21" s="3">
        <v>17216000</v>
      </c>
      <c r="I21">
        <f t="shared" si="0"/>
        <v>-1.992619926199261E-2</v>
      </c>
    </row>
    <row r="22" spans="1:9" ht="18" x14ac:dyDescent="0.2">
      <c r="A22" s="1">
        <v>46058</v>
      </c>
      <c r="B22" s="2">
        <v>146.58000000000001</v>
      </c>
      <c r="C22" s="2">
        <v>146.72999999999999</v>
      </c>
      <c r="D22" s="2">
        <v>143.80000000000001</v>
      </c>
      <c r="E22" s="2">
        <v>146.08000000000001</v>
      </c>
      <c r="F22" s="2">
        <v>145.11000000000001</v>
      </c>
      <c r="G22" s="3">
        <v>18431700</v>
      </c>
      <c r="I22">
        <f t="shared" si="0"/>
        <v>1.033680175246434E-2</v>
      </c>
    </row>
    <row r="23" spans="1:9" ht="18" x14ac:dyDescent="0.2">
      <c r="A23" s="1">
        <v>46057</v>
      </c>
      <c r="B23" s="2">
        <v>144.12</v>
      </c>
      <c r="C23" s="2">
        <v>147.84</v>
      </c>
      <c r="D23" s="2">
        <v>144.12</v>
      </c>
      <c r="E23" s="2">
        <v>147.59</v>
      </c>
      <c r="F23" s="2">
        <v>146.61000000000001</v>
      </c>
      <c r="G23" s="3">
        <v>29426200</v>
      </c>
      <c r="I23">
        <f t="shared" si="0"/>
        <v>-2.6153533437224836E-2</v>
      </c>
    </row>
    <row r="24" spans="1:9" ht="18" x14ac:dyDescent="0.2">
      <c r="A24" s="1">
        <v>46056</v>
      </c>
      <c r="B24" s="2">
        <v>138.63999999999999</v>
      </c>
      <c r="C24" s="2">
        <v>145.01</v>
      </c>
      <c r="D24" s="2">
        <v>138.31</v>
      </c>
      <c r="E24" s="2">
        <v>143.72999999999999</v>
      </c>
      <c r="F24" s="2">
        <v>142.78</v>
      </c>
      <c r="G24" s="3">
        <v>37577800</v>
      </c>
      <c r="I24">
        <f t="shared" si="0"/>
        <v>-3.7083420301954946E-2</v>
      </c>
    </row>
    <row r="25" spans="1:9" ht="18" x14ac:dyDescent="0.2">
      <c r="A25" s="1">
        <v>46055</v>
      </c>
      <c r="B25" s="2">
        <v>139.83000000000001</v>
      </c>
      <c r="C25" s="2">
        <v>140.32</v>
      </c>
      <c r="D25" s="2">
        <v>138.06</v>
      </c>
      <c r="E25" s="2">
        <v>138.4</v>
      </c>
      <c r="F25" s="2">
        <v>137.47999999999999</v>
      </c>
      <c r="G25" s="3">
        <v>27735600</v>
      </c>
      <c r="I25">
        <f t="shared" si="0"/>
        <v>2.1676300578034682E-2</v>
      </c>
    </row>
    <row r="26" spans="1:9" ht="18" x14ac:dyDescent="0.2">
      <c r="A26" s="1">
        <v>46052</v>
      </c>
      <c r="B26" s="2">
        <v>138.74</v>
      </c>
      <c r="C26" s="2">
        <v>142.21</v>
      </c>
      <c r="D26" s="2">
        <v>137.83000000000001</v>
      </c>
      <c r="E26" s="2">
        <v>141.4</v>
      </c>
      <c r="F26" s="2">
        <v>140.46</v>
      </c>
      <c r="G26" s="3">
        <v>29657700</v>
      </c>
      <c r="I26">
        <f t="shared" si="0"/>
        <v>-6.2942008486563984E-3</v>
      </c>
    </row>
    <row r="27" spans="1:9" ht="18" x14ac:dyDescent="0.2">
      <c r="A27" s="1">
        <v>46051</v>
      </c>
      <c r="B27" s="2">
        <v>140.32</v>
      </c>
      <c r="C27" s="2">
        <v>142.34</v>
      </c>
      <c r="D27" s="2">
        <v>139.11000000000001</v>
      </c>
      <c r="E27" s="2">
        <v>140.51</v>
      </c>
      <c r="F27" s="2">
        <v>139.58000000000001</v>
      </c>
      <c r="G27" s="3">
        <v>35760600</v>
      </c>
      <c r="I27">
        <f t="shared" si="0"/>
        <v>-2.0852608355277052E-2</v>
      </c>
    </row>
    <row r="28" spans="1:9" ht="18" x14ac:dyDescent="0.2">
      <c r="A28" s="1">
        <v>46050</v>
      </c>
      <c r="B28" s="2">
        <v>137.69</v>
      </c>
      <c r="C28" s="2">
        <v>138.01</v>
      </c>
      <c r="D28" s="2">
        <v>136.66999999999999</v>
      </c>
      <c r="E28" s="2">
        <v>137.58000000000001</v>
      </c>
      <c r="F28" s="2">
        <v>136.66999999999999</v>
      </c>
      <c r="G28" s="3">
        <v>15637300</v>
      </c>
      <c r="I28">
        <f t="shared" si="0"/>
        <v>-5.451373746184038E-3</v>
      </c>
    </row>
    <row r="29" spans="1:9" ht="18" x14ac:dyDescent="0.2">
      <c r="A29" s="1">
        <v>46049</v>
      </c>
      <c r="B29" s="2">
        <v>135.25</v>
      </c>
      <c r="C29" s="2">
        <v>136.93</v>
      </c>
      <c r="D29" s="2">
        <v>134.71</v>
      </c>
      <c r="E29" s="2">
        <v>136.83000000000001</v>
      </c>
      <c r="F29" s="2">
        <v>135.91999999999999</v>
      </c>
      <c r="G29" s="3">
        <v>14517000</v>
      </c>
      <c r="I29">
        <f t="shared" si="0"/>
        <v>-1.4543594241029079E-2</v>
      </c>
    </row>
    <row r="30" spans="1:9" ht="18" x14ac:dyDescent="0.2">
      <c r="A30" s="1">
        <v>46048</v>
      </c>
      <c r="B30" s="2">
        <v>136.93</v>
      </c>
      <c r="C30" s="2">
        <v>136.94</v>
      </c>
      <c r="D30" s="2">
        <v>134.16999999999999</v>
      </c>
      <c r="E30" s="2">
        <v>134.84</v>
      </c>
      <c r="F30" s="2">
        <v>133.94999999999999</v>
      </c>
      <c r="G30" s="3">
        <v>16056100</v>
      </c>
      <c r="I30">
        <f t="shared" si="0"/>
        <v>9.6410560664487869E-4</v>
      </c>
    </row>
    <row r="31" spans="1:9" ht="18" x14ac:dyDescent="0.2">
      <c r="A31" s="1">
        <v>46045</v>
      </c>
      <c r="B31" s="2">
        <v>135.09</v>
      </c>
      <c r="C31" s="2">
        <v>135.97999999999999</v>
      </c>
      <c r="D31" s="2">
        <v>134.47999999999999</v>
      </c>
      <c r="E31" s="2">
        <v>134.97</v>
      </c>
      <c r="F31" s="2">
        <v>134.08000000000001</v>
      </c>
      <c r="G31" s="3">
        <v>17758200</v>
      </c>
      <c r="I31">
        <f t="shared" si="0"/>
        <v>-9.8540416388828069E-3</v>
      </c>
    </row>
    <row r="32" spans="1:9" ht="18" x14ac:dyDescent="0.2">
      <c r="A32" s="1">
        <v>46044</v>
      </c>
      <c r="B32" s="2">
        <v>133.05000000000001</v>
      </c>
      <c r="C32" s="2">
        <v>134.18</v>
      </c>
      <c r="D32" s="2">
        <v>131.85</v>
      </c>
      <c r="E32" s="2">
        <v>133.63999999999999</v>
      </c>
      <c r="F32" s="2">
        <v>132.76</v>
      </c>
      <c r="G32" s="3">
        <v>16600100</v>
      </c>
      <c r="I32">
        <f t="shared" si="0"/>
        <v>-2.2448368751850283E-4</v>
      </c>
    </row>
    <row r="33" spans="1:9" ht="18" x14ac:dyDescent="0.2">
      <c r="A33" s="1">
        <v>46043</v>
      </c>
      <c r="B33" s="2">
        <v>131.91</v>
      </c>
      <c r="C33" s="2">
        <v>133.72999999999999</v>
      </c>
      <c r="D33" s="2">
        <v>131.91</v>
      </c>
      <c r="E33" s="2">
        <v>133.61000000000001</v>
      </c>
      <c r="F33" s="2">
        <v>132.72999999999999</v>
      </c>
      <c r="G33" s="3">
        <v>18879900</v>
      </c>
      <c r="I33">
        <f t="shared" si="0"/>
        <v>-2.3576079634757916E-2</v>
      </c>
    </row>
    <row r="34" spans="1:9" ht="18" x14ac:dyDescent="0.2">
      <c r="A34" s="1">
        <v>46042</v>
      </c>
      <c r="B34" s="2">
        <v>131.51</v>
      </c>
      <c r="C34" s="2">
        <v>131.94</v>
      </c>
      <c r="D34" s="2">
        <v>130.07</v>
      </c>
      <c r="E34" s="2">
        <v>130.46</v>
      </c>
      <c r="F34" s="2">
        <v>129.6</v>
      </c>
      <c r="G34" s="3">
        <v>16477300</v>
      </c>
      <c r="I34">
        <f t="shared" si="0"/>
        <v>-4.369155296642814E-3</v>
      </c>
    </row>
    <row r="35" spans="1:9" ht="18" x14ac:dyDescent="0.2">
      <c r="A35" s="1">
        <v>46038</v>
      </c>
      <c r="B35" s="2">
        <v>128.91</v>
      </c>
      <c r="C35" s="2">
        <v>130.16</v>
      </c>
      <c r="D35" s="2">
        <v>128.87</v>
      </c>
      <c r="E35" s="2">
        <v>129.88999999999999</v>
      </c>
      <c r="F35" s="2">
        <v>129.03</v>
      </c>
      <c r="G35" s="3">
        <v>16592400</v>
      </c>
      <c r="I35">
        <f t="shared" si="0"/>
        <v>-5.851104780968442E-3</v>
      </c>
    </row>
    <row r="36" spans="1:9" ht="18" x14ac:dyDescent="0.2">
      <c r="A36" s="1">
        <v>46037</v>
      </c>
      <c r="B36" s="2">
        <v>129.13</v>
      </c>
      <c r="C36" s="2">
        <v>130.19999999999999</v>
      </c>
      <c r="D36" s="2">
        <v>128.30000000000001</v>
      </c>
      <c r="E36" s="2">
        <v>129.13</v>
      </c>
      <c r="F36" s="2">
        <v>128.28</v>
      </c>
      <c r="G36" s="3">
        <v>17400000</v>
      </c>
      <c r="I36">
        <f t="shared" si="0"/>
        <v>8.2862231859366E-3</v>
      </c>
    </row>
    <row r="37" spans="1:9" ht="18" x14ac:dyDescent="0.2">
      <c r="A37" s="1">
        <v>46036</v>
      </c>
      <c r="B37" s="2">
        <v>127.35</v>
      </c>
      <c r="C37" s="2">
        <v>131.72</v>
      </c>
      <c r="D37" s="2">
        <v>127.13</v>
      </c>
      <c r="E37" s="2">
        <v>130.19999999999999</v>
      </c>
      <c r="F37" s="2">
        <v>129.34</v>
      </c>
      <c r="G37" s="3">
        <v>27593900</v>
      </c>
      <c r="I37">
        <f t="shared" si="0"/>
        <v>-2.8110599078340882E-2</v>
      </c>
    </row>
    <row r="38" spans="1:9" ht="18" x14ac:dyDescent="0.2">
      <c r="A38" s="1">
        <v>46035</v>
      </c>
      <c r="B38" s="2">
        <v>125</v>
      </c>
      <c r="C38" s="2">
        <v>127.14</v>
      </c>
      <c r="D38" s="2">
        <v>124.81</v>
      </c>
      <c r="E38" s="2">
        <v>126.54</v>
      </c>
      <c r="F38" s="2">
        <v>125.7</v>
      </c>
      <c r="G38" s="3">
        <v>21619700</v>
      </c>
      <c r="I38">
        <f t="shared" si="0"/>
        <v>-1.9835625098783033E-2</v>
      </c>
    </row>
    <row r="39" spans="1:9" ht="18" x14ac:dyDescent="0.2">
      <c r="A39" s="1">
        <v>46034</v>
      </c>
      <c r="B39" s="2">
        <v>124.46</v>
      </c>
      <c r="C39" s="2">
        <v>124.5</v>
      </c>
      <c r="D39" s="2">
        <v>122.56</v>
      </c>
      <c r="E39" s="2">
        <v>124.03</v>
      </c>
      <c r="F39" s="2">
        <v>123.21</v>
      </c>
      <c r="G39" s="3">
        <v>15314900</v>
      </c>
      <c r="I39">
        <f t="shared" si="0"/>
        <v>4.6762879948399443E-3</v>
      </c>
    </row>
    <row r="40" spans="1:9" ht="18" x14ac:dyDescent="0.2">
      <c r="A40" s="1">
        <v>46031</v>
      </c>
      <c r="B40" s="2">
        <v>123.23</v>
      </c>
      <c r="C40" s="2">
        <v>124.86</v>
      </c>
      <c r="D40" s="2">
        <v>123.1</v>
      </c>
      <c r="E40" s="2">
        <v>124.61</v>
      </c>
      <c r="F40" s="2">
        <v>123.78</v>
      </c>
      <c r="G40" s="3">
        <v>16137700</v>
      </c>
      <c r="I40">
        <f t="shared" si="0"/>
        <v>-1.3642564802182833E-2</v>
      </c>
    </row>
    <row r="41" spans="1:9" ht="18" x14ac:dyDescent="0.2">
      <c r="A41" s="1">
        <v>46030</v>
      </c>
      <c r="B41" s="2">
        <v>118.98</v>
      </c>
      <c r="C41" s="2">
        <v>123.63</v>
      </c>
      <c r="D41" s="2">
        <v>118.66</v>
      </c>
      <c r="E41" s="2">
        <v>122.91</v>
      </c>
      <c r="F41" s="2">
        <v>122.1</v>
      </c>
      <c r="G41" s="3">
        <v>20232700</v>
      </c>
      <c r="I41">
        <f t="shared" si="0"/>
        <v>-3.5961272475795315E-2</v>
      </c>
    </row>
    <row r="42" spans="1:9" ht="18" x14ac:dyDescent="0.2">
      <c r="A42" s="1">
        <v>46029</v>
      </c>
      <c r="B42" s="2">
        <v>119.8</v>
      </c>
      <c r="C42" s="2">
        <v>120.12</v>
      </c>
      <c r="D42" s="2">
        <v>118.27</v>
      </c>
      <c r="E42" s="2">
        <v>118.49</v>
      </c>
      <c r="F42" s="2">
        <v>117.71</v>
      </c>
      <c r="G42" s="3">
        <v>20353000</v>
      </c>
      <c r="I42">
        <f t="shared" si="0"/>
        <v>2.1605198750949468E-2</v>
      </c>
    </row>
    <row r="43" spans="1:9" ht="18" x14ac:dyDescent="0.2">
      <c r="A43" s="1">
        <v>46028</v>
      </c>
      <c r="B43" s="2">
        <v>125.35</v>
      </c>
      <c r="C43" s="2">
        <v>125.8</v>
      </c>
      <c r="D43" s="2">
        <v>121</v>
      </c>
      <c r="E43" s="2">
        <v>121.05</v>
      </c>
      <c r="F43" s="2">
        <v>120.25</v>
      </c>
      <c r="G43" s="3">
        <v>23328600</v>
      </c>
      <c r="I43">
        <f t="shared" si="0"/>
        <v>3.5605121850475027E-2</v>
      </c>
    </row>
    <row r="44" spans="1:9" ht="18" x14ac:dyDescent="0.2">
      <c r="A44" s="1">
        <v>46027</v>
      </c>
      <c r="B44" s="2">
        <v>125.21</v>
      </c>
      <c r="C44" s="2">
        <v>125.93</v>
      </c>
      <c r="D44" s="2">
        <v>122.39</v>
      </c>
      <c r="E44" s="2">
        <v>125.36</v>
      </c>
      <c r="F44" s="2">
        <v>124.53</v>
      </c>
      <c r="G44" s="3">
        <v>30112200</v>
      </c>
      <c r="I44">
        <f t="shared" si="0"/>
        <v>-2.1617740906190123E-2</v>
      </c>
    </row>
    <row r="45" spans="1:9" ht="18" x14ac:dyDescent="0.2">
      <c r="A45" s="1">
        <v>46024</v>
      </c>
      <c r="B45" s="2">
        <v>120.09</v>
      </c>
      <c r="C45" s="2">
        <v>122.68</v>
      </c>
      <c r="D45" s="2">
        <v>119.61</v>
      </c>
      <c r="E45" s="2">
        <v>122.65</v>
      </c>
      <c r="F45" s="2">
        <v>121.84</v>
      </c>
      <c r="G45" s="3">
        <v>14175100</v>
      </c>
      <c r="I45">
        <f t="shared" si="0"/>
        <v>-1.8834080717488808E-2</v>
      </c>
    </row>
    <row r="46" spans="1:9" ht="18" x14ac:dyDescent="0.2">
      <c r="A46" s="1">
        <v>46022</v>
      </c>
      <c r="B46" s="2">
        <v>121.18</v>
      </c>
      <c r="C46" s="2">
        <v>121.26</v>
      </c>
      <c r="D46" s="2">
        <v>119.87</v>
      </c>
      <c r="E46" s="2">
        <v>120.34</v>
      </c>
      <c r="F46" s="2">
        <v>119.54</v>
      </c>
      <c r="G46" s="3">
        <v>10559900</v>
      </c>
      <c r="I46">
        <f t="shared" si="0"/>
        <v>5.401362805384672E-3</v>
      </c>
    </row>
    <row r="47" spans="1:9" ht="18" x14ac:dyDescent="0.2">
      <c r="A47" s="1">
        <v>46021</v>
      </c>
      <c r="B47" s="2">
        <v>121.1</v>
      </c>
      <c r="C47" s="2">
        <v>121.8</v>
      </c>
      <c r="D47" s="2">
        <v>120.63</v>
      </c>
      <c r="E47" s="2">
        <v>120.99</v>
      </c>
      <c r="F47" s="2">
        <v>120.19</v>
      </c>
      <c r="G47" s="3">
        <v>11150500</v>
      </c>
      <c r="I47">
        <f t="shared" si="0"/>
        <v>-3.8019671047193468E-3</v>
      </c>
    </row>
    <row r="48" spans="1:9" ht="18" x14ac:dyDescent="0.2">
      <c r="A48" s="1">
        <v>46020</v>
      </c>
      <c r="B48" s="2">
        <v>120.15</v>
      </c>
      <c r="C48" s="2">
        <v>121.3</v>
      </c>
      <c r="D48" s="2">
        <v>119.4</v>
      </c>
      <c r="E48" s="2">
        <v>120.53</v>
      </c>
      <c r="F48" s="2">
        <v>119.73</v>
      </c>
      <c r="G48" s="3">
        <v>14782500</v>
      </c>
      <c r="I48">
        <f t="shared" si="0"/>
        <v>-1.1781299261594639E-2</v>
      </c>
    </row>
    <row r="49" spans="1:9" ht="18" x14ac:dyDescent="0.2">
      <c r="A49" s="1">
        <v>46017</v>
      </c>
      <c r="B49" s="2">
        <v>118.89</v>
      </c>
      <c r="C49" s="2">
        <v>119.55</v>
      </c>
      <c r="D49" s="2">
        <v>118.53</v>
      </c>
      <c r="E49" s="2">
        <v>119.11</v>
      </c>
      <c r="F49" s="2">
        <v>118.32</v>
      </c>
      <c r="G49" s="3">
        <v>8066100</v>
      </c>
      <c r="I49">
        <f t="shared" si="0"/>
        <v>9.2351607757534576E-4</v>
      </c>
    </row>
    <row r="50" spans="1:9" ht="18" x14ac:dyDescent="0.2">
      <c r="A50" s="1">
        <v>46015</v>
      </c>
      <c r="B50" s="2">
        <v>119.33</v>
      </c>
      <c r="C50" s="2">
        <v>120.05</v>
      </c>
      <c r="D50" s="2">
        <v>119.12</v>
      </c>
      <c r="E50" s="2">
        <v>119.22</v>
      </c>
      <c r="F50" s="2">
        <v>118.43</v>
      </c>
      <c r="G50" s="3">
        <v>6137400</v>
      </c>
      <c r="I50">
        <f t="shared" si="0"/>
        <v>1.6775708773695927E-3</v>
      </c>
    </row>
    <row r="51" spans="1:9" ht="18" x14ac:dyDescent="0.2">
      <c r="A51" s="1">
        <v>46014</v>
      </c>
      <c r="B51" s="2">
        <v>118.47</v>
      </c>
      <c r="C51" s="2">
        <v>120.03</v>
      </c>
      <c r="D51" s="2">
        <v>118.32</v>
      </c>
      <c r="E51" s="2">
        <v>119.42</v>
      </c>
      <c r="F51" s="2">
        <v>118.63</v>
      </c>
      <c r="G51" s="3">
        <v>12567600</v>
      </c>
      <c r="I51">
        <f t="shared" si="0"/>
        <v>-1.0634734550326545E-2</v>
      </c>
    </row>
    <row r="52" spans="1:9" ht="18" x14ac:dyDescent="0.2">
      <c r="A52" s="1">
        <v>46013</v>
      </c>
      <c r="B52" s="2">
        <v>117.34</v>
      </c>
      <c r="C52" s="2">
        <v>118.46</v>
      </c>
      <c r="D52" s="2">
        <v>117.34</v>
      </c>
      <c r="E52" s="2">
        <v>118.15</v>
      </c>
      <c r="F52" s="2">
        <v>117.37</v>
      </c>
      <c r="G52" s="3">
        <v>11768600</v>
      </c>
      <c r="I52">
        <f t="shared" si="0"/>
        <v>-1.2357173085061429E-2</v>
      </c>
    </row>
    <row r="53" spans="1:9" ht="18" x14ac:dyDescent="0.2">
      <c r="A53" s="1">
        <v>46010</v>
      </c>
      <c r="B53" s="2">
        <v>116.75</v>
      </c>
      <c r="C53" s="2">
        <v>117.57</v>
      </c>
      <c r="D53" s="2">
        <v>115.96</v>
      </c>
      <c r="E53" s="2">
        <v>116.69</v>
      </c>
      <c r="F53" s="2">
        <v>115.92</v>
      </c>
      <c r="G53" s="3">
        <v>45412800</v>
      </c>
      <c r="I53">
        <f t="shared" si="0"/>
        <v>-1.2854571942753576E-3</v>
      </c>
    </row>
    <row r="54" spans="1:9" ht="18" x14ac:dyDescent="0.2">
      <c r="A54" s="1">
        <v>46009</v>
      </c>
      <c r="B54" s="2">
        <v>116.99</v>
      </c>
      <c r="C54" s="2">
        <v>116.99</v>
      </c>
      <c r="D54" s="2">
        <v>115.63</v>
      </c>
      <c r="E54" s="2">
        <v>116.54</v>
      </c>
      <c r="F54" s="2">
        <v>115.77</v>
      </c>
      <c r="G54" s="3">
        <v>13705600</v>
      </c>
      <c r="I54">
        <f t="shared" si="0"/>
        <v>7.4652479835248869E-3</v>
      </c>
    </row>
    <row r="55" spans="1:9" ht="18" x14ac:dyDescent="0.2">
      <c r="A55" s="1">
        <v>46008</v>
      </c>
      <c r="B55" s="2">
        <v>115.21</v>
      </c>
      <c r="C55" s="2">
        <v>117.62</v>
      </c>
      <c r="D55" s="2">
        <v>115.17</v>
      </c>
      <c r="E55" s="2">
        <v>117.41</v>
      </c>
      <c r="F55" s="2">
        <v>116.63</v>
      </c>
      <c r="G55" s="3">
        <v>18502200</v>
      </c>
      <c r="I55">
        <f t="shared" si="0"/>
        <v>-2.3251852482752661E-2</v>
      </c>
    </row>
    <row r="56" spans="1:9" ht="18" x14ac:dyDescent="0.2">
      <c r="A56" s="1">
        <v>46007</v>
      </c>
      <c r="B56" s="2">
        <v>116.77</v>
      </c>
      <c r="C56" s="2">
        <v>116.84</v>
      </c>
      <c r="D56" s="2">
        <v>114.61</v>
      </c>
      <c r="E56" s="2">
        <v>114.68</v>
      </c>
      <c r="F56" s="2">
        <v>113.92</v>
      </c>
      <c r="G56" s="3">
        <v>17638700</v>
      </c>
      <c r="I56">
        <f t="shared" si="0"/>
        <v>2.6857342169515155E-2</v>
      </c>
    </row>
    <row r="57" spans="1:9" ht="18" x14ac:dyDescent="0.2">
      <c r="A57" s="1">
        <v>46006</v>
      </c>
      <c r="B57" s="2">
        <v>119.01</v>
      </c>
      <c r="C57" s="2">
        <v>119.03</v>
      </c>
      <c r="D57" s="2">
        <v>116.85</v>
      </c>
      <c r="E57" s="2">
        <v>117.76</v>
      </c>
      <c r="F57" s="2">
        <v>116.98</v>
      </c>
      <c r="G57" s="3">
        <v>16358700</v>
      </c>
      <c r="I57">
        <f t="shared" si="0"/>
        <v>9.0013586956520716E-3</v>
      </c>
    </row>
    <row r="58" spans="1:9" ht="18" x14ac:dyDescent="0.2">
      <c r="A58" s="1">
        <v>46003</v>
      </c>
      <c r="B58" s="2">
        <v>119.44</v>
      </c>
      <c r="C58" s="2">
        <v>119.92</v>
      </c>
      <c r="D58" s="2">
        <v>118.31</v>
      </c>
      <c r="E58" s="2">
        <v>118.82</v>
      </c>
      <c r="F58" s="2">
        <v>118.03</v>
      </c>
      <c r="G58" s="3">
        <v>14459500</v>
      </c>
      <c r="I58">
        <f t="shared" si="0"/>
        <v>6.0595859282950104E-3</v>
      </c>
    </row>
    <row r="59" spans="1:9" ht="18" x14ac:dyDescent="0.2">
      <c r="A59" s="1">
        <v>46002</v>
      </c>
      <c r="B59" s="2">
        <v>119.11</v>
      </c>
      <c r="C59" s="2">
        <v>120.36</v>
      </c>
      <c r="D59" s="2">
        <v>119.07</v>
      </c>
      <c r="E59" s="2">
        <v>119.54</v>
      </c>
      <c r="F59" s="2">
        <v>118.75</v>
      </c>
      <c r="G59" s="3">
        <v>14781800</v>
      </c>
      <c r="I59">
        <f t="shared" si="0"/>
        <v>0</v>
      </c>
    </row>
    <row r="60" spans="1:9" ht="18" x14ac:dyDescent="0.2">
      <c r="A60" s="1">
        <v>46001</v>
      </c>
      <c r="B60" s="2">
        <v>118.73</v>
      </c>
      <c r="C60" s="2">
        <v>119.87</v>
      </c>
      <c r="D60" s="2">
        <v>118.37</v>
      </c>
      <c r="E60" s="2">
        <v>119.54</v>
      </c>
      <c r="F60" s="2">
        <v>118.75</v>
      </c>
      <c r="G60" s="3">
        <v>19845200</v>
      </c>
      <c r="I60">
        <f t="shared" si="0"/>
        <v>-1.0791366906474873E-2</v>
      </c>
    </row>
    <row r="61" spans="1:9" ht="18" x14ac:dyDescent="0.2">
      <c r="A61" s="1">
        <v>46000</v>
      </c>
      <c r="B61" s="2">
        <v>116.9</v>
      </c>
      <c r="C61" s="2">
        <v>120.47</v>
      </c>
      <c r="D61" s="2">
        <v>116.89</v>
      </c>
      <c r="E61" s="2">
        <v>118.25</v>
      </c>
      <c r="F61" s="2">
        <v>117.47</v>
      </c>
      <c r="G61" s="3">
        <v>23790800</v>
      </c>
      <c r="I61">
        <f t="shared" si="0"/>
        <v>-1.9196617336152185E-2</v>
      </c>
    </row>
    <row r="62" spans="1:9" ht="18" x14ac:dyDescent="0.2">
      <c r="A62" s="1">
        <v>45999</v>
      </c>
      <c r="B62" s="2">
        <v>115.83</v>
      </c>
      <c r="C62" s="2">
        <v>117</v>
      </c>
      <c r="D62" s="2">
        <v>115.04</v>
      </c>
      <c r="E62" s="2">
        <v>115.98</v>
      </c>
      <c r="F62" s="2">
        <v>115.21</v>
      </c>
      <c r="G62" s="3">
        <v>14904200</v>
      </c>
      <c r="I62">
        <f t="shared" si="0"/>
        <v>4.8284186928781022E-3</v>
      </c>
    </row>
    <row r="63" spans="1:9" ht="18" x14ac:dyDescent="0.2">
      <c r="A63" s="1">
        <v>45996</v>
      </c>
      <c r="B63" s="2">
        <v>116.75</v>
      </c>
      <c r="C63" s="2">
        <v>118.78</v>
      </c>
      <c r="D63" s="2">
        <v>116.41</v>
      </c>
      <c r="E63" s="2">
        <v>116.54</v>
      </c>
      <c r="F63" s="2">
        <v>115.77</v>
      </c>
      <c r="G63" s="3">
        <v>12516900</v>
      </c>
      <c r="I63">
        <f t="shared" si="0"/>
        <v>5.1484468851895858E-3</v>
      </c>
    </row>
    <row r="64" spans="1:9" ht="18" x14ac:dyDescent="0.2">
      <c r="A64" s="1">
        <v>45995</v>
      </c>
      <c r="B64" s="2">
        <v>117.5</v>
      </c>
      <c r="C64" s="2">
        <v>118.34</v>
      </c>
      <c r="D64" s="2">
        <v>116.66</v>
      </c>
      <c r="E64" s="2">
        <v>117.14</v>
      </c>
      <c r="F64" s="2">
        <v>116.36</v>
      </c>
      <c r="G64" s="3">
        <v>13686900</v>
      </c>
      <c r="I64">
        <f t="shared" si="0"/>
        <v>5.634283763018581E-3</v>
      </c>
    </row>
    <row r="65" spans="1:9" ht="18" x14ac:dyDescent="0.2">
      <c r="A65" s="1">
        <v>45994</v>
      </c>
      <c r="B65" s="2">
        <v>115.95</v>
      </c>
      <c r="C65" s="2">
        <v>117.98</v>
      </c>
      <c r="D65" s="2">
        <v>115.88</v>
      </c>
      <c r="E65" s="2">
        <v>117.8</v>
      </c>
      <c r="F65" s="2">
        <v>117.02</v>
      </c>
      <c r="G65" s="3">
        <v>16819100</v>
      </c>
      <c r="I65">
        <f t="shared" si="0"/>
        <v>-2.0543293718166399E-2</v>
      </c>
    </row>
    <row r="66" spans="1:9" ht="18" x14ac:dyDescent="0.2">
      <c r="A66" s="1">
        <v>45993</v>
      </c>
      <c r="B66" s="2">
        <v>116.44</v>
      </c>
      <c r="C66" s="2">
        <v>116.6</v>
      </c>
      <c r="D66" s="2">
        <v>114.69</v>
      </c>
      <c r="E66" s="2">
        <v>115.38</v>
      </c>
      <c r="F66" s="2">
        <v>114.62</v>
      </c>
      <c r="G66" s="3">
        <v>14607700</v>
      </c>
      <c r="I66">
        <f t="shared" ref="I66:I128" si="1">(E67-E66)/E66</f>
        <v>1.0833766684000695E-2</v>
      </c>
    </row>
    <row r="67" spans="1:9" ht="18" x14ac:dyDescent="0.2">
      <c r="A67" s="1">
        <v>45992</v>
      </c>
      <c r="B67" s="2">
        <v>116.1</v>
      </c>
      <c r="C67" s="2">
        <v>117.41</v>
      </c>
      <c r="D67" s="2">
        <v>116.1</v>
      </c>
      <c r="E67" s="2">
        <v>116.63</v>
      </c>
      <c r="F67" s="2">
        <v>115.86</v>
      </c>
      <c r="G67" s="3">
        <v>12658100</v>
      </c>
      <c r="I67">
        <f t="shared" si="1"/>
        <v>-6.0876275400839732E-3</v>
      </c>
    </row>
    <row r="68" spans="1:9" ht="18" x14ac:dyDescent="0.2">
      <c r="A68" s="1">
        <v>45989</v>
      </c>
      <c r="B68" s="2">
        <v>114.95</v>
      </c>
      <c r="C68" s="2">
        <v>118.74</v>
      </c>
      <c r="D68" s="2">
        <v>114.82</v>
      </c>
      <c r="E68" s="2">
        <v>115.92</v>
      </c>
      <c r="F68" s="2">
        <v>115.15</v>
      </c>
      <c r="G68" s="3">
        <v>7240800</v>
      </c>
      <c r="I68">
        <f t="shared" si="1"/>
        <v>-9.9206349206349704E-3</v>
      </c>
    </row>
    <row r="69" spans="1:9" ht="18" x14ac:dyDescent="0.2">
      <c r="A69" s="1">
        <v>45987</v>
      </c>
      <c r="B69" s="2">
        <v>114.41</v>
      </c>
      <c r="C69" s="2">
        <v>115.74</v>
      </c>
      <c r="D69" s="2">
        <v>114.31</v>
      </c>
      <c r="E69" s="2">
        <v>114.77</v>
      </c>
      <c r="F69" s="2">
        <v>114.01</v>
      </c>
      <c r="G69" s="3">
        <v>11650600</v>
      </c>
      <c r="I69">
        <f t="shared" si="1"/>
        <v>-2.2654003659492109E-3</v>
      </c>
    </row>
    <row r="70" spans="1:9" ht="18" x14ac:dyDescent="0.2">
      <c r="A70" s="1">
        <v>45986</v>
      </c>
      <c r="B70" s="2">
        <v>115.18</v>
      </c>
      <c r="C70" s="2">
        <v>115.9</v>
      </c>
      <c r="D70" s="2">
        <v>114.19</v>
      </c>
      <c r="E70" s="2">
        <v>114.51</v>
      </c>
      <c r="F70" s="2">
        <v>113.75</v>
      </c>
      <c r="G70" s="3">
        <v>14434600</v>
      </c>
      <c r="I70">
        <f t="shared" si="1"/>
        <v>1.2749978167845549E-2</v>
      </c>
    </row>
    <row r="71" spans="1:9" ht="18" x14ac:dyDescent="0.2">
      <c r="A71" s="1">
        <v>45985</v>
      </c>
      <c r="B71" s="2">
        <v>117.2</v>
      </c>
      <c r="C71" s="2">
        <v>117.2</v>
      </c>
      <c r="D71" s="2">
        <v>114.74</v>
      </c>
      <c r="E71" s="2">
        <v>115.97</v>
      </c>
      <c r="F71" s="2">
        <v>115.2</v>
      </c>
      <c r="G71" s="3">
        <v>18034900</v>
      </c>
      <c r="I71">
        <f t="shared" si="1"/>
        <v>9.57144088988531E-3</v>
      </c>
    </row>
    <row r="72" spans="1:9" ht="18" x14ac:dyDescent="0.2">
      <c r="A72" s="1">
        <v>45982</v>
      </c>
      <c r="B72" s="2">
        <v>116.99</v>
      </c>
      <c r="C72" s="2">
        <v>117.38</v>
      </c>
      <c r="D72" s="2">
        <v>115.65</v>
      </c>
      <c r="E72" s="2">
        <v>117.08</v>
      </c>
      <c r="F72" s="2">
        <v>116.3</v>
      </c>
      <c r="G72" s="3">
        <v>15667600</v>
      </c>
      <c r="I72">
        <f t="shared" si="1"/>
        <v>-5.1247010591050802E-4</v>
      </c>
    </row>
    <row r="73" spans="1:9" ht="18" x14ac:dyDescent="0.2">
      <c r="A73" s="1">
        <v>45981</v>
      </c>
      <c r="B73" s="2">
        <v>117.98</v>
      </c>
      <c r="C73" s="2">
        <v>119.01</v>
      </c>
      <c r="D73" s="2">
        <v>116.74</v>
      </c>
      <c r="E73" s="2">
        <v>117.02</v>
      </c>
      <c r="F73" s="2">
        <v>116.25</v>
      </c>
      <c r="G73" s="3">
        <v>14401000</v>
      </c>
      <c r="I73">
        <f t="shared" si="1"/>
        <v>2.8200307639719563E-3</v>
      </c>
    </row>
    <row r="74" spans="1:9" ht="18" x14ac:dyDescent="0.2">
      <c r="A74" s="1">
        <v>45980</v>
      </c>
      <c r="B74" s="2">
        <v>116.85</v>
      </c>
      <c r="C74" s="2">
        <v>118.18</v>
      </c>
      <c r="D74" s="2">
        <v>115.93</v>
      </c>
      <c r="E74" s="2">
        <v>117.35</v>
      </c>
      <c r="F74" s="2">
        <v>116.57</v>
      </c>
      <c r="G74" s="3">
        <v>15919200</v>
      </c>
      <c r="I74">
        <f t="shared" si="1"/>
        <v>1.4316148274392902E-2</v>
      </c>
    </row>
    <row r="75" spans="1:9" ht="18" x14ac:dyDescent="0.2">
      <c r="A75" s="1">
        <v>45979</v>
      </c>
      <c r="B75" s="2">
        <v>117.26</v>
      </c>
      <c r="C75" s="2">
        <v>119.48</v>
      </c>
      <c r="D75" s="2">
        <v>116.48</v>
      </c>
      <c r="E75" s="2">
        <v>119.03</v>
      </c>
      <c r="F75" s="2">
        <v>118.24</v>
      </c>
      <c r="G75" s="3">
        <v>15808500</v>
      </c>
      <c r="I75">
        <f t="shared" si="1"/>
        <v>-1.134167856842808E-2</v>
      </c>
    </row>
    <row r="76" spans="1:9" ht="18" x14ac:dyDescent="0.2">
      <c r="A76" s="1">
        <v>45978</v>
      </c>
      <c r="B76" s="2">
        <v>118.97</v>
      </c>
      <c r="C76" s="2">
        <v>119.5</v>
      </c>
      <c r="D76" s="2">
        <v>117.11</v>
      </c>
      <c r="E76" s="2">
        <v>117.68</v>
      </c>
      <c r="F76" s="2">
        <v>116.9</v>
      </c>
      <c r="G76" s="3">
        <v>16034900</v>
      </c>
      <c r="I76">
        <f>(E77-E76)/E76</f>
        <v>1.3681169272603665E-2</v>
      </c>
    </row>
    <row r="77" spans="1:9" ht="18" x14ac:dyDescent="0.2">
      <c r="A77" s="1">
        <v>45975</v>
      </c>
      <c r="B77" s="2">
        <v>118.45</v>
      </c>
      <c r="C77" s="2">
        <v>119.48</v>
      </c>
      <c r="D77" s="2">
        <v>116.66</v>
      </c>
      <c r="E77" s="2">
        <v>119.29</v>
      </c>
      <c r="F77" s="2">
        <v>118.5</v>
      </c>
      <c r="G77" s="3">
        <v>17064300</v>
      </c>
      <c r="I77">
        <f t="shared" si="1"/>
        <v>-4.1914661748679687E-3</v>
      </c>
    </row>
    <row r="78" spans="1:9" ht="18" x14ac:dyDescent="0.2">
      <c r="A78" s="1">
        <v>45974</v>
      </c>
      <c r="B78" s="2">
        <v>118.63</v>
      </c>
      <c r="C78" s="2">
        <v>119.76</v>
      </c>
      <c r="D78" s="2">
        <v>118.28</v>
      </c>
      <c r="E78" s="2">
        <v>118.79</v>
      </c>
      <c r="F78" s="2">
        <v>116.98</v>
      </c>
      <c r="G78" s="3">
        <v>17291900</v>
      </c>
      <c r="I78">
        <f t="shared" si="1"/>
        <v>-5.6402054044953423E-3</v>
      </c>
    </row>
    <row r="79" spans="1:9" ht="18" x14ac:dyDescent="0.2">
      <c r="A79" s="1">
        <v>45973</v>
      </c>
      <c r="B79" s="2">
        <v>119.1</v>
      </c>
      <c r="C79" s="2">
        <v>119.28</v>
      </c>
      <c r="D79" s="2">
        <v>117.79</v>
      </c>
      <c r="E79" s="2">
        <v>118.12</v>
      </c>
      <c r="F79" s="2">
        <v>116.32</v>
      </c>
      <c r="G79" s="3">
        <v>13790900</v>
      </c>
      <c r="I79">
        <f t="shared" si="1"/>
        <v>1.4053504910260722E-2</v>
      </c>
    </row>
    <row r="80" spans="1:9" ht="18" x14ac:dyDescent="0.2">
      <c r="A80" s="1">
        <v>45972</v>
      </c>
      <c r="B80" s="2">
        <v>118.83</v>
      </c>
      <c r="C80" s="2">
        <v>120.81</v>
      </c>
      <c r="D80" s="2">
        <v>118.83</v>
      </c>
      <c r="E80" s="2">
        <v>119.78</v>
      </c>
      <c r="F80" s="2">
        <v>117.96</v>
      </c>
      <c r="G80" s="3">
        <v>16077100</v>
      </c>
      <c r="I80">
        <f t="shared" si="1"/>
        <v>-1.302387710803141E-2</v>
      </c>
    </row>
    <row r="81" spans="1:9" ht="18" x14ac:dyDescent="0.2">
      <c r="A81" s="1">
        <v>45971</v>
      </c>
      <c r="B81" s="2">
        <v>117.44</v>
      </c>
      <c r="C81" s="2">
        <v>118.45</v>
      </c>
      <c r="D81" s="2">
        <v>115.46</v>
      </c>
      <c r="E81" s="2">
        <v>118.22</v>
      </c>
      <c r="F81" s="2">
        <v>116.42</v>
      </c>
      <c r="G81" s="3">
        <v>13048000</v>
      </c>
      <c r="I81">
        <f t="shared" si="1"/>
        <v>-8.4588056166469295E-3</v>
      </c>
    </row>
    <row r="82" spans="1:9" ht="18" x14ac:dyDescent="0.2">
      <c r="A82" s="1">
        <v>45968</v>
      </c>
      <c r="B82" s="2">
        <v>115.21</v>
      </c>
      <c r="C82" s="2">
        <v>117.51</v>
      </c>
      <c r="D82" s="2">
        <v>114.9</v>
      </c>
      <c r="E82" s="2">
        <v>117.22</v>
      </c>
      <c r="F82" s="2">
        <v>115.43</v>
      </c>
      <c r="G82" s="3">
        <v>17181100</v>
      </c>
      <c r="I82">
        <f t="shared" si="1"/>
        <v>-2.3204231359836194E-2</v>
      </c>
    </row>
    <row r="83" spans="1:9" ht="18" x14ac:dyDescent="0.2">
      <c r="A83" s="1">
        <v>45967</v>
      </c>
      <c r="B83" s="2">
        <v>113.64</v>
      </c>
      <c r="C83" s="2">
        <v>114.94</v>
      </c>
      <c r="D83" s="2">
        <v>113.64</v>
      </c>
      <c r="E83" s="2">
        <v>114.5</v>
      </c>
      <c r="F83" s="2">
        <v>112.76</v>
      </c>
      <c r="G83" s="3">
        <v>14219700</v>
      </c>
      <c r="I83">
        <f t="shared" si="1"/>
        <v>-7.1615720524016869E-3</v>
      </c>
    </row>
    <row r="84" spans="1:9" ht="18" x14ac:dyDescent="0.2">
      <c r="A84" s="1">
        <v>45966</v>
      </c>
      <c r="B84" s="2">
        <v>114.09</v>
      </c>
      <c r="C84" s="2">
        <v>115.18</v>
      </c>
      <c r="D84" s="2">
        <v>113.67</v>
      </c>
      <c r="E84" s="2">
        <v>113.68</v>
      </c>
      <c r="F84" s="2">
        <v>111.95</v>
      </c>
      <c r="G84" s="3">
        <v>12400900</v>
      </c>
      <c r="I84">
        <f t="shared" si="1"/>
        <v>4.0464461646727108E-3</v>
      </c>
    </row>
    <row r="85" spans="1:9" ht="18" x14ac:dyDescent="0.2">
      <c r="A85" s="1">
        <v>45965</v>
      </c>
      <c r="B85" s="2">
        <v>113.38</v>
      </c>
      <c r="C85" s="2">
        <v>114.35</v>
      </c>
      <c r="D85" s="2">
        <v>112.51</v>
      </c>
      <c r="E85" s="2">
        <v>114.14</v>
      </c>
      <c r="F85" s="2">
        <v>112.4</v>
      </c>
      <c r="G85" s="3">
        <v>16860700</v>
      </c>
      <c r="I85">
        <f t="shared" si="1"/>
        <v>-3.3292447871035172E-3</v>
      </c>
    </row>
    <row r="86" spans="1:9" ht="18" x14ac:dyDescent="0.2">
      <c r="A86" s="1">
        <v>45964</v>
      </c>
      <c r="B86" s="2">
        <v>114.5</v>
      </c>
      <c r="C86" s="2">
        <v>114.99</v>
      </c>
      <c r="D86" s="2">
        <v>113.64</v>
      </c>
      <c r="E86" s="2">
        <v>113.76</v>
      </c>
      <c r="F86" s="2">
        <v>112.03</v>
      </c>
      <c r="G86" s="3">
        <v>12290300</v>
      </c>
      <c r="I86">
        <f t="shared" si="1"/>
        <v>5.2742616033754769E-3</v>
      </c>
    </row>
    <row r="87" spans="1:9" ht="18" x14ac:dyDescent="0.2">
      <c r="A87" s="1">
        <v>45961</v>
      </c>
      <c r="B87" s="2">
        <v>113.98</v>
      </c>
      <c r="C87" s="2">
        <v>115.23</v>
      </c>
      <c r="D87" s="2">
        <v>112.62</v>
      </c>
      <c r="E87" s="2">
        <v>114.36</v>
      </c>
      <c r="F87" s="2">
        <v>112.62</v>
      </c>
      <c r="G87" s="3">
        <v>20213400</v>
      </c>
      <c r="I87">
        <f t="shared" si="1"/>
        <v>2.8856243441762706E-3</v>
      </c>
    </row>
    <row r="88" spans="1:9" ht="18" x14ac:dyDescent="0.2">
      <c r="A88" s="1">
        <v>45960</v>
      </c>
      <c r="B88" s="2">
        <v>116.43</v>
      </c>
      <c r="C88" s="2">
        <v>116.52</v>
      </c>
      <c r="D88" s="2">
        <v>114.53</v>
      </c>
      <c r="E88" s="2">
        <v>114.69</v>
      </c>
      <c r="F88" s="2">
        <v>112.94</v>
      </c>
      <c r="G88" s="3">
        <v>16172900</v>
      </c>
      <c r="I88">
        <f t="shared" si="1"/>
        <v>1.5345714534833074E-2</v>
      </c>
    </row>
    <row r="89" spans="1:9" ht="18" x14ac:dyDescent="0.2">
      <c r="A89" s="1">
        <v>45959</v>
      </c>
      <c r="B89" s="2">
        <v>114.92</v>
      </c>
      <c r="C89" s="2">
        <v>117.05</v>
      </c>
      <c r="D89" s="2">
        <v>114.81</v>
      </c>
      <c r="E89" s="2">
        <v>116.45</v>
      </c>
      <c r="F89" s="2">
        <v>114.68</v>
      </c>
      <c r="G89" s="3">
        <v>12570600</v>
      </c>
      <c r="I89">
        <f t="shared" si="1"/>
        <v>-1.2194074710176056E-2</v>
      </c>
    </row>
    <row r="90" spans="1:9" ht="18" x14ac:dyDescent="0.2">
      <c r="A90" s="1">
        <v>45958</v>
      </c>
      <c r="B90" s="2">
        <v>115.49</v>
      </c>
      <c r="C90" s="2">
        <v>116.18</v>
      </c>
      <c r="D90" s="2">
        <v>114.99</v>
      </c>
      <c r="E90" s="2">
        <v>115.03</v>
      </c>
      <c r="F90" s="2">
        <v>113.28</v>
      </c>
      <c r="G90" s="3">
        <v>9535200</v>
      </c>
      <c r="I90">
        <f t="shared" si="1"/>
        <v>7.9109797444144713E-3</v>
      </c>
    </row>
    <row r="91" spans="1:9" ht="18" x14ac:dyDescent="0.2">
      <c r="A91" s="1">
        <v>45957</v>
      </c>
      <c r="B91" s="2">
        <v>115.7</v>
      </c>
      <c r="C91" s="2">
        <v>115.99</v>
      </c>
      <c r="D91" s="2">
        <v>115.1</v>
      </c>
      <c r="E91" s="2">
        <v>115.94</v>
      </c>
      <c r="F91" s="2">
        <v>114.17</v>
      </c>
      <c r="G91" s="3">
        <v>10975400</v>
      </c>
      <c r="I91">
        <f t="shared" si="1"/>
        <v>-4.7438330170777743E-3</v>
      </c>
    </row>
    <row r="92" spans="1:9" ht="18" x14ac:dyDescent="0.2">
      <c r="A92" s="1">
        <v>45954</v>
      </c>
      <c r="B92" s="2">
        <v>116.35</v>
      </c>
      <c r="C92" s="2">
        <v>116.47</v>
      </c>
      <c r="D92" s="2">
        <v>115.18</v>
      </c>
      <c r="E92" s="2">
        <v>115.39</v>
      </c>
      <c r="F92" s="2">
        <v>113.63</v>
      </c>
      <c r="G92" s="3">
        <v>9919400</v>
      </c>
      <c r="I92">
        <f t="shared" si="1"/>
        <v>5.1130947222463247E-3</v>
      </c>
    </row>
    <row r="93" spans="1:9" ht="18" x14ac:dyDescent="0.2">
      <c r="A93" s="1">
        <v>45953</v>
      </c>
      <c r="B93" s="2">
        <v>116.63</v>
      </c>
      <c r="C93" s="2">
        <v>116.85</v>
      </c>
      <c r="D93" s="2">
        <v>115.36</v>
      </c>
      <c r="E93" s="2">
        <v>115.98</v>
      </c>
      <c r="F93" s="2">
        <v>114.21</v>
      </c>
      <c r="G93" s="3">
        <v>15001100</v>
      </c>
      <c r="I93">
        <f t="shared" si="1"/>
        <v>-1.0950163821348596E-2</v>
      </c>
    </row>
    <row r="94" spans="1:9" ht="18" x14ac:dyDescent="0.2">
      <c r="A94" s="1">
        <v>45952</v>
      </c>
      <c r="B94" s="2">
        <v>113.45</v>
      </c>
      <c r="C94" s="2">
        <v>115.18</v>
      </c>
      <c r="D94" s="2">
        <v>113.08</v>
      </c>
      <c r="E94" s="2">
        <v>114.71</v>
      </c>
      <c r="F94" s="2">
        <v>112.96</v>
      </c>
      <c r="G94" s="3">
        <v>12938800</v>
      </c>
      <c r="I94">
        <f t="shared" si="1"/>
        <v>-1.743527155435446E-2</v>
      </c>
    </row>
    <row r="95" spans="1:9" ht="18" x14ac:dyDescent="0.2">
      <c r="A95" s="1">
        <v>45951</v>
      </c>
      <c r="B95" s="2">
        <v>112.89</v>
      </c>
      <c r="C95" s="2">
        <v>113.36</v>
      </c>
      <c r="D95" s="2">
        <v>111.99</v>
      </c>
      <c r="E95" s="2">
        <v>112.71</v>
      </c>
      <c r="F95" s="2">
        <v>110.99</v>
      </c>
      <c r="G95" s="3">
        <v>9202300</v>
      </c>
      <c r="I95">
        <f t="shared" si="1"/>
        <v>-8.872327211419489E-5</v>
      </c>
    </row>
    <row r="96" spans="1:9" ht="18" x14ac:dyDescent="0.2">
      <c r="A96" s="1">
        <v>45950</v>
      </c>
      <c r="B96" s="2">
        <v>112</v>
      </c>
      <c r="C96" s="2">
        <v>113.15</v>
      </c>
      <c r="D96" s="2">
        <v>111.98</v>
      </c>
      <c r="E96" s="2">
        <v>112.7</v>
      </c>
      <c r="F96" s="2">
        <v>110.98</v>
      </c>
      <c r="G96" s="3">
        <v>9523600</v>
      </c>
      <c r="I96">
        <f t="shared" si="1"/>
        <v>-4.0816326530612951E-3</v>
      </c>
    </row>
    <row r="97" spans="1:9" ht="18" x14ac:dyDescent="0.2">
      <c r="A97" s="1">
        <v>45947</v>
      </c>
      <c r="B97" s="2">
        <v>111.63</v>
      </c>
      <c r="C97" s="2">
        <v>112.91</v>
      </c>
      <c r="D97" s="2">
        <v>111.18</v>
      </c>
      <c r="E97" s="2">
        <v>112.24</v>
      </c>
      <c r="F97" s="2">
        <v>110.53</v>
      </c>
      <c r="G97" s="3">
        <v>13460100</v>
      </c>
      <c r="I97">
        <f t="shared" si="1"/>
        <v>-1.4255167498218054E-2</v>
      </c>
    </row>
    <row r="98" spans="1:9" ht="18" x14ac:dyDescent="0.2">
      <c r="A98" s="1">
        <v>45946</v>
      </c>
      <c r="B98" s="2">
        <v>111.88</v>
      </c>
      <c r="C98" s="2">
        <v>112.19</v>
      </c>
      <c r="D98" s="2">
        <v>110.39</v>
      </c>
      <c r="E98" s="2">
        <v>110.64</v>
      </c>
      <c r="F98" s="2">
        <v>108.95</v>
      </c>
      <c r="G98" s="3">
        <v>11782200</v>
      </c>
      <c r="I98">
        <f t="shared" si="1"/>
        <v>8.7671728127259475E-3</v>
      </c>
    </row>
    <row r="99" spans="1:9" ht="18" x14ac:dyDescent="0.2">
      <c r="A99" s="1">
        <v>45945</v>
      </c>
      <c r="B99" s="2">
        <v>112.8</v>
      </c>
      <c r="C99" s="2">
        <v>113.57</v>
      </c>
      <c r="D99" s="2">
        <v>110.97</v>
      </c>
      <c r="E99" s="2">
        <v>111.61</v>
      </c>
      <c r="F99" s="2">
        <v>109.91</v>
      </c>
      <c r="G99" s="3">
        <v>12182900</v>
      </c>
      <c r="I99">
        <f t="shared" si="1"/>
        <v>6.0926440283129366E-3</v>
      </c>
    </row>
    <row r="100" spans="1:9" ht="18" x14ac:dyDescent="0.2">
      <c r="A100" s="1">
        <v>45944</v>
      </c>
      <c r="B100" s="2">
        <v>110.76</v>
      </c>
      <c r="C100" s="2">
        <v>112.96</v>
      </c>
      <c r="D100" s="2">
        <v>110.71</v>
      </c>
      <c r="E100" s="2">
        <v>112.29</v>
      </c>
      <c r="F100" s="2">
        <v>110.58</v>
      </c>
      <c r="G100" s="3">
        <v>11167200</v>
      </c>
      <c r="I100">
        <f t="shared" si="1"/>
        <v>-4.4527562561235518E-4</v>
      </c>
    </row>
    <row r="101" spans="1:9" ht="18" x14ac:dyDescent="0.2">
      <c r="A101" s="1">
        <v>45943</v>
      </c>
      <c r="B101" s="2">
        <v>111.54</v>
      </c>
      <c r="C101" s="2">
        <v>112.3</v>
      </c>
      <c r="D101" s="2">
        <v>111.32</v>
      </c>
      <c r="E101" s="2">
        <v>112.24</v>
      </c>
      <c r="F101" s="2">
        <v>110.53</v>
      </c>
      <c r="G101" s="3">
        <v>10296500</v>
      </c>
      <c r="I101">
        <f t="shared" si="1"/>
        <v>-1.3453314326443255E-2</v>
      </c>
    </row>
    <row r="102" spans="1:9" ht="18" x14ac:dyDescent="0.2">
      <c r="A102" s="1">
        <v>45940</v>
      </c>
      <c r="B102" s="2">
        <v>112.26</v>
      </c>
      <c r="C102" s="2">
        <v>112.62</v>
      </c>
      <c r="D102" s="2">
        <v>110.71</v>
      </c>
      <c r="E102" s="2">
        <v>110.73</v>
      </c>
      <c r="F102" s="2">
        <v>109.04</v>
      </c>
      <c r="G102" s="3">
        <v>13811600</v>
      </c>
      <c r="I102">
        <f t="shared" si="1"/>
        <v>1.9687528221800709E-2</v>
      </c>
    </row>
    <row r="103" spans="1:9" ht="18" x14ac:dyDescent="0.2">
      <c r="A103" s="1">
        <v>45939</v>
      </c>
      <c r="B103" s="2">
        <v>114.43</v>
      </c>
      <c r="C103" s="2">
        <v>115.51</v>
      </c>
      <c r="D103" s="2">
        <v>112.74</v>
      </c>
      <c r="E103" s="2">
        <v>112.91</v>
      </c>
      <c r="F103" s="2">
        <v>111.19</v>
      </c>
      <c r="G103" s="3">
        <v>10976200</v>
      </c>
      <c r="I103">
        <f t="shared" si="1"/>
        <v>9.8308387211053002E-3</v>
      </c>
    </row>
    <row r="104" spans="1:9" ht="18" x14ac:dyDescent="0.2">
      <c r="A104" s="1">
        <v>45938</v>
      </c>
      <c r="B104" s="2">
        <v>114.38</v>
      </c>
      <c r="C104" s="2">
        <v>115.01</v>
      </c>
      <c r="D104" s="2">
        <v>113.41</v>
      </c>
      <c r="E104" s="2">
        <v>114.02</v>
      </c>
      <c r="F104" s="2">
        <v>112.28</v>
      </c>
      <c r="G104" s="3">
        <v>12301000</v>
      </c>
      <c r="I104">
        <f t="shared" si="1"/>
        <v>2.1048938782670507E-3</v>
      </c>
    </row>
    <row r="105" spans="1:9" ht="18" x14ac:dyDescent="0.2">
      <c r="A105" s="1">
        <v>45937</v>
      </c>
      <c r="B105" s="2">
        <v>114.07</v>
      </c>
      <c r="C105" s="2">
        <v>114.51</v>
      </c>
      <c r="D105" s="2">
        <v>111.74</v>
      </c>
      <c r="E105" s="2">
        <v>114.26</v>
      </c>
      <c r="F105" s="2">
        <v>112.52</v>
      </c>
      <c r="G105" s="3">
        <v>11945000</v>
      </c>
      <c r="I105">
        <f t="shared" si="1"/>
        <v>-5.2511815158412631E-4</v>
      </c>
    </row>
    <row r="106" spans="1:9" ht="18" x14ac:dyDescent="0.2">
      <c r="A106" s="1">
        <v>45936</v>
      </c>
      <c r="B106" s="2">
        <v>113.29</v>
      </c>
      <c r="C106" s="2">
        <v>114.77</v>
      </c>
      <c r="D106" s="2">
        <v>113.18</v>
      </c>
      <c r="E106" s="2">
        <v>114.2</v>
      </c>
      <c r="F106" s="2">
        <v>112.46</v>
      </c>
      <c r="G106" s="3">
        <v>12036800</v>
      </c>
      <c r="I106">
        <f t="shared" si="1"/>
        <v>-8.2311733800350066E-3</v>
      </c>
    </row>
    <row r="107" spans="1:9" ht="18" x14ac:dyDescent="0.2">
      <c r="A107" s="1">
        <v>45933</v>
      </c>
      <c r="B107" s="2">
        <v>111.9</v>
      </c>
      <c r="C107" s="2">
        <v>113.75</v>
      </c>
      <c r="D107" s="2">
        <v>111.9</v>
      </c>
      <c r="E107" s="2">
        <v>113.26</v>
      </c>
      <c r="F107" s="2">
        <v>111.53</v>
      </c>
      <c r="G107" s="3">
        <v>12950100</v>
      </c>
      <c r="I107">
        <f t="shared" si="1"/>
        <v>-1.7393607628465466E-2</v>
      </c>
    </row>
    <row r="108" spans="1:9" ht="18" x14ac:dyDescent="0.2">
      <c r="A108" s="1">
        <v>45932</v>
      </c>
      <c r="B108" s="2">
        <v>111.97</v>
      </c>
      <c r="C108" s="2">
        <v>113.09</v>
      </c>
      <c r="D108" s="2">
        <v>111.03</v>
      </c>
      <c r="E108" s="2">
        <v>111.29</v>
      </c>
      <c r="F108" s="2">
        <v>109.59</v>
      </c>
      <c r="G108" s="3">
        <v>13062600</v>
      </c>
      <c r="I108">
        <f t="shared" si="1"/>
        <v>6.2898733039804889E-3</v>
      </c>
    </row>
    <row r="109" spans="1:9" ht="18" x14ac:dyDescent="0.2">
      <c r="A109" s="1">
        <v>45931</v>
      </c>
      <c r="B109" s="2">
        <v>112.56</v>
      </c>
      <c r="C109" s="2">
        <v>113.02</v>
      </c>
      <c r="D109" s="2">
        <v>111.29</v>
      </c>
      <c r="E109" s="2">
        <v>111.99</v>
      </c>
      <c r="F109" s="2">
        <v>110.28</v>
      </c>
      <c r="G109" s="3">
        <v>16614000</v>
      </c>
      <c r="I109">
        <f t="shared" si="1"/>
        <v>6.7863202071613993E-3</v>
      </c>
    </row>
    <row r="110" spans="1:9" ht="18" x14ac:dyDescent="0.2">
      <c r="A110" s="1">
        <v>45930</v>
      </c>
      <c r="B110" s="2">
        <v>113.35</v>
      </c>
      <c r="C110" s="2">
        <v>113.49</v>
      </c>
      <c r="D110" s="2">
        <v>111.94</v>
      </c>
      <c r="E110" s="2">
        <v>112.75</v>
      </c>
      <c r="F110" s="2">
        <v>111.03</v>
      </c>
      <c r="G110" s="3">
        <v>18076200</v>
      </c>
      <c r="I110">
        <f t="shared" si="1"/>
        <v>1.303769401330376E-2</v>
      </c>
    </row>
    <row r="111" spans="1:9" ht="18" x14ac:dyDescent="0.2">
      <c r="A111" s="1">
        <v>45929</v>
      </c>
      <c r="B111" s="2">
        <v>116.06</v>
      </c>
      <c r="C111" s="2">
        <v>116.5</v>
      </c>
      <c r="D111" s="2">
        <v>113.67</v>
      </c>
      <c r="E111" s="2">
        <v>114.22</v>
      </c>
      <c r="F111" s="2">
        <v>112.48</v>
      </c>
      <c r="G111" s="3">
        <v>19189300</v>
      </c>
      <c r="I111">
        <f t="shared" si="1"/>
        <v>2.6265102433899491E-2</v>
      </c>
    </row>
    <row r="112" spans="1:9" ht="18" x14ac:dyDescent="0.2">
      <c r="A112" s="1">
        <v>45926</v>
      </c>
      <c r="B112" s="2">
        <v>115.96</v>
      </c>
      <c r="C112" s="2">
        <v>118.36</v>
      </c>
      <c r="D112" s="2">
        <v>115.92</v>
      </c>
      <c r="E112" s="2">
        <v>117.22</v>
      </c>
      <c r="F112" s="2">
        <v>115.43</v>
      </c>
      <c r="G112" s="3">
        <v>18568900</v>
      </c>
      <c r="I112">
        <f t="shared" si="1"/>
        <v>-1.3905476881078276E-2</v>
      </c>
    </row>
    <row r="113" spans="1:9" ht="18" x14ac:dyDescent="0.2">
      <c r="A113" s="1">
        <v>45925</v>
      </c>
      <c r="B113" s="2">
        <v>114.64</v>
      </c>
      <c r="C113" s="2">
        <v>115.9</v>
      </c>
      <c r="D113" s="2">
        <v>114.41</v>
      </c>
      <c r="E113" s="2">
        <v>115.59</v>
      </c>
      <c r="F113" s="2">
        <v>113.83</v>
      </c>
      <c r="G113" s="3">
        <v>15012600</v>
      </c>
      <c r="I113">
        <f t="shared" si="1"/>
        <v>-8.9108054329959437E-3</v>
      </c>
    </row>
    <row r="114" spans="1:9" ht="18" x14ac:dyDescent="0.2">
      <c r="A114" s="1">
        <v>45924</v>
      </c>
      <c r="B114" s="2">
        <v>114.57</v>
      </c>
      <c r="C114" s="2">
        <v>115.76</v>
      </c>
      <c r="D114" s="2">
        <v>114.47</v>
      </c>
      <c r="E114" s="2">
        <v>114.56</v>
      </c>
      <c r="F114" s="2">
        <v>112.81</v>
      </c>
      <c r="G114" s="3">
        <v>14756100</v>
      </c>
      <c r="I114">
        <f t="shared" si="1"/>
        <v>-5.3247206703910567E-3</v>
      </c>
    </row>
    <row r="115" spans="1:9" ht="18" x14ac:dyDescent="0.2">
      <c r="A115" s="1">
        <v>45923</v>
      </c>
      <c r="B115" s="2">
        <v>112.72</v>
      </c>
      <c r="C115" s="2">
        <v>114.75</v>
      </c>
      <c r="D115" s="2">
        <v>112.48</v>
      </c>
      <c r="E115" s="2">
        <v>113.95</v>
      </c>
      <c r="F115" s="2">
        <v>112.21</v>
      </c>
      <c r="G115" s="3">
        <v>25369100</v>
      </c>
      <c r="I115">
        <f t="shared" si="1"/>
        <v>-1.6937253181219893E-2</v>
      </c>
    </row>
    <row r="116" spans="1:9" ht="18" x14ac:dyDescent="0.2">
      <c r="A116" s="1">
        <v>45922</v>
      </c>
      <c r="B116" s="2">
        <v>112.45</v>
      </c>
      <c r="C116" s="2">
        <v>112.8</v>
      </c>
      <c r="D116" s="2">
        <v>111.56</v>
      </c>
      <c r="E116" s="2">
        <v>112.02</v>
      </c>
      <c r="F116" s="2">
        <v>110.31</v>
      </c>
      <c r="G116" s="3">
        <v>15611500</v>
      </c>
      <c r="I116">
        <f t="shared" si="1"/>
        <v>7.1415818603820496E-3</v>
      </c>
    </row>
    <row r="117" spans="1:9" ht="18" x14ac:dyDescent="0.2">
      <c r="A117" s="1">
        <v>45919</v>
      </c>
      <c r="B117" s="2">
        <v>113.9</v>
      </c>
      <c r="C117" s="2">
        <v>113.98</v>
      </c>
      <c r="D117" s="2">
        <v>112.64</v>
      </c>
      <c r="E117" s="2">
        <v>112.82</v>
      </c>
      <c r="F117" s="2">
        <v>111.1</v>
      </c>
      <c r="G117" s="3">
        <v>38746500</v>
      </c>
      <c r="I117">
        <f t="shared" si="1"/>
        <v>9.8386810849141436E-3</v>
      </c>
    </row>
    <row r="118" spans="1:9" ht="18" x14ac:dyDescent="0.2">
      <c r="A118" s="1">
        <v>45918</v>
      </c>
      <c r="B118" s="2">
        <v>115.17</v>
      </c>
      <c r="C118" s="2">
        <v>115.35</v>
      </c>
      <c r="D118" s="2">
        <v>113.4</v>
      </c>
      <c r="E118" s="2">
        <v>113.93</v>
      </c>
      <c r="F118" s="2">
        <v>112.19</v>
      </c>
      <c r="G118" s="3">
        <v>14628700</v>
      </c>
      <c r="I118">
        <f t="shared" si="1"/>
        <v>1.1937154393048358E-2</v>
      </c>
    </row>
    <row r="119" spans="1:9" ht="18" x14ac:dyDescent="0.2">
      <c r="A119" s="1">
        <v>45917</v>
      </c>
      <c r="B119" s="2">
        <v>114.53</v>
      </c>
      <c r="C119" s="2">
        <v>115.49</v>
      </c>
      <c r="D119" s="2">
        <v>114.05</v>
      </c>
      <c r="E119" s="2">
        <v>115.29</v>
      </c>
      <c r="F119" s="2">
        <v>113.53</v>
      </c>
      <c r="G119" s="3">
        <v>13302000</v>
      </c>
      <c r="I119">
        <f t="shared" si="1"/>
        <v>-5.2910052910052855E-3</v>
      </c>
    </row>
    <row r="120" spans="1:9" ht="18" x14ac:dyDescent="0.2">
      <c r="A120" s="1">
        <v>45916</v>
      </c>
      <c r="B120" s="2">
        <v>112.96</v>
      </c>
      <c r="C120" s="2">
        <v>115.32</v>
      </c>
      <c r="D120" s="2">
        <v>112.78</v>
      </c>
      <c r="E120" s="2">
        <v>114.68</v>
      </c>
      <c r="F120" s="2">
        <v>112.93</v>
      </c>
      <c r="G120" s="3">
        <v>17208000</v>
      </c>
      <c r="I120">
        <f t="shared" si="1"/>
        <v>-2.0317404952912559E-2</v>
      </c>
    </row>
    <row r="121" spans="1:9" ht="18" x14ac:dyDescent="0.2">
      <c r="A121" s="1">
        <v>45915</v>
      </c>
      <c r="B121" s="2">
        <v>112.18</v>
      </c>
      <c r="C121" s="2">
        <v>112.46</v>
      </c>
      <c r="D121" s="2">
        <v>111.32</v>
      </c>
      <c r="E121" s="2">
        <v>112.35</v>
      </c>
      <c r="F121" s="2">
        <v>110.64</v>
      </c>
      <c r="G121" s="3">
        <v>12880500</v>
      </c>
      <c r="I121">
        <f t="shared" si="1"/>
        <v>-1.6911437472184934E-3</v>
      </c>
    </row>
    <row r="122" spans="1:9" ht="18" x14ac:dyDescent="0.2">
      <c r="A122" s="1">
        <v>45912</v>
      </c>
      <c r="B122" s="2">
        <v>112.86</v>
      </c>
      <c r="C122" s="2">
        <v>113.22</v>
      </c>
      <c r="D122" s="2">
        <v>111.88</v>
      </c>
      <c r="E122" s="2">
        <v>112.16</v>
      </c>
      <c r="F122" s="2">
        <v>110.45</v>
      </c>
      <c r="G122" s="3">
        <v>11105700</v>
      </c>
      <c r="I122">
        <f t="shared" si="1"/>
        <v>-1.7831669044218992E-4</v>
      </c>
    </row>
    <row r="123" spans="1:9" ht="18" x14ac:dyDescent="0.2">
      <c r="A123" s="1">
        <v>45911</v>
      </c>
      <c r="B123" s="2">
        <v>111.4</v>
      </c>
      <c r="C123" s="2">
        <v>112.77</v>
      </c>
      <c r="D123" s="2">
        <v>110.87</v>
      </c>
      <c r="E123" s="2">
        <v>112.14</v>
      </c>
      <c r="F123" s="2">
        <v>110.43</v>
      </c>
      <c r="G123" s="3">
        <v>11534500</v>
      </c>
      <c r="I123">
        <f t="shared" si="1"/>
        <v>3.2102728731942163E-3</v>
      </c>
    </row>
    <row r="124" spans="1:9" ht="18" x14ac:dyDescent="0.2">
      <c r="A124" s="1">
        <v>45910</v>
      </c>
      <c r="B124" s="2">
        <v>111.16</v>
      </c>
      <c r="C124" s="2">
        <v>112.56</v>
      </c>
      <c r="D124" s="2">
        <v>110.84</v>
      </c>
      <c r="E124" s="2">
        <v>112.5</v>
      </c>
      <c r="F124" s="2">
        <v>110.79</v>
      </c>
      <c r="G124" s="3">
        <v>15837600</v>
      </c>
      <c r="I124">
        <f t="shared" si="1"/>
        <v>-1.6444444444444394E-2</v>
      </c>
    </row>
    <row r="125" spans="1:9" ht="18" x14ac:dyDescent="0.2">
      <c r="A125" s="1">
        <v>45909</v>
      </c>
      <c r="B125" s="2">
        <v>110.53</v>
      </c>
      <c r="C125" s="2">
        <v>112.51</v>
      </c>
      <c r="D125" s="2">
        <v>110.53</v>
      </c>
      <c r="E125" s="2">
        <v>110.65</v>
      </c>
      <c r="F125" s="2">
        <v>108.96</v>
      </c>
      <c r="G125" s="3">
        <v>14899500</v>
      </c>
      <c r="I125">
        <f t="shared" si="1"/>
        <v>-7.2300045187529268E-3</v>
      </c>
    </row>
    <row r="126" spans="1:9" ht="18" x14ac:dyDescent="0.2">
      <c r="A126" s="1">
        <v>45908</v>
      </c>
      <c r="B126" s="2">
        <v>109.73</v>
      </c>
      <c r="C126" s="2">
        <v>110.05</v>
      </c>
      <c r="D126" s="2">
        <v>108.35</v>
      </c>
      <c r="E126" s="2">
        <v>109.85</v>
      </c>
      <c r="F126" s="2">
        <v>108.18</v>
      </c>
      <c r="G126" s="3">
        <v>15440500</v>
      </c>
      <c r="I126">
        <f t="shared" si="1"/>
        <v>-5.6440600819298165E-3</v>
      </c>
    </row>
    <row r="127" spans="1:9" ht="18" x14ac:dyDescent="0.2">
      <c r="A127" s="1">
        <v>45905</v>
      </c>
      <c r="B127" s="2">
        <v>111.6</v>
      </c>
      <c r="C127" s="2">
        <v>111.78</v>
      </c>
      <c r="D127" s="2">
        <v>109.02</v>
      </c>
      <c r="E127" s="2">
        <v>109.23</v>
      </c>
      <c r="F127" s="2">
        <v>107.57</v>
      </c>
      <c r="G127" s="3">
        <v>16826700</v>
      </c>
      <c r="I127">
        <f t="shared" si="1"/>
        <v>2.9021331136134774E-2</v>
      </c>
    </row>
    <row r="128" spans="1:9" ht="18" x14ac:dyDescent="0.2">
      <c r="A128" s="1">
        <v>45904</v>
      </c>
      <c r="B128" s="2">
        <v>112.11</v>
      </c>
      <c r="C128" s="2">
        <v>113.13</v>
      </c>
      <c r="D128" s="2">
        <v>111.38</v>
      </c>
      <c r="E128" s="2">
        <v>112.4</v>
      </c>
      <c r="F128" s="2">
        <v>110.69</v>
      </c>
      <c r="G128" s="3">
        <v>12864400</v>
      </c>
      <c r="I128">
        <f t="shared" si="1"/>
        <v>-4.3594306049822874E-3</v>
      </c>
    </row>
    <row r="129" spans="1:9" ht="18" x14ac:dyDescent="0.2">
      <c r="A129" s="1">
        <v>45903</v>
      </c>
      <c r="B129" s="2">
        <v>113.97</v>
      </c>
      <c r="C129" s="2">
        <v>114.43</v>
      </c>
      <c r="D129" s="2">
        <v>111.46</v>
      </c>
      <c r="E129" s="2">
        <v>111.91</v>
      </c>
      <c r="F129" s="2">
        <v>110.21</v>
      </c>
      <c r="G129" s="3">
        <v>14920100</v>
      </c>
      <c r="I129">
        <f t="shared" ref="I129:I191" si="2">(E130-E129)/E129</f>
        <v>2.4841390403002424E-2</v>
      </c>
    </row>
    <row r="130" spans="1:9" ht="18" x14ac:dyDescent="0.2">
      <c r="A130" s="1">
        <v>45902</v>
      </c>
      <c r="B130" s="2">
        <v>114.18</v>
      </c>
      <c r="C130" s="2">
        <v>115.24</v>
      </c>
      <c r="D130" s="2">
        <v>113.33</v>
      </c>
      <c r="E130" s="2">
        <v>114.69</v>
      </c>
      <c r="F130" s="2">
        <v>112.94</v>
      </c>
      <c r="G130" s="3">
        <v>15206700</v>
      </c>
      <c r="I130">
        <f t="shared" si="2"/>
        <v>-3.4876623942801592E-3</v>
      </c>
    </row>
    <row r="131" spans="1:9" ht="18" x14ac:dyDescent="0.2">
      <c r="A131" s="1">
        <v>45898</v>
      </c>
      <c r="B131" s="2">
        <v>113.72</v>
      </c>
      <c r="C131" s="2">
        <v>114.79</v>
      </c>
      <c r="D131" s="2">
        <v>113.58</v>
      </c>
      <c r="E131" s="2">
        <v>114.29</v>
      </c>
      <c r="F131" s="2">
        <v>112.55</v>
      </c>
      <c r="G131" s="3">
        <v>14597900</v>
      </c>
      <c r="I131">
        <f t="shared" si="2"/>
        <v>-8.2246915740660769E-3</v>
      </c>
    </row>
    <row r="132" spans="1:9" ht="18" x14ac:dyDescent="0.2">
      <c r="A132" s="1">
        <v>45897</v>
      </c>
      <c r="B132" s="2">
        <v>112.87</v>
      </c>
      <c r="C132" s="2">
        <v>113.65</v>
      </c>
      <c r="D132" s="2">
        <v>112.07</v>
      </c>
      <c r="E132" s="2">
        <v>113.35</v>
      </c>
      <c r="F132" s="2">
        <v>111.62</v>
      </c>
      <c r="G132" s="3">
        <v>14189800</v>
      </c>
      <c r="I132">
        <f t="shared" si="2"/>
        <v>-5.2933392148212998E-3</v>
      </c>
    </row>
    <row r="133" spans="1:9" ht="18" x14ac:dyDescent="0.2">
      <c r="A133" s="1">
        <v>45896</v>
      </c>
      <c r="B133" s="2">
        <v>111.42</v>
      </c>
      <c r="C133" s="2">
        <v>112.98</v>
      </c>
      <c r="D133" s="2">
        <v>111.42</v>
      </c>
      <c r="E133" s="2">
        <v>112.75</v>
      </c>
      <c r="F133" s="2">
        <v>111.03</v>
      </c>
      <c r="G133" s="3">
        <v>15262600</v>
      </c>
      <c r="I133">
        <f t="shared" si="2"/>
        <v>-1.1175166297117562E-2</v>
      </c>
    </row>
    <row r="134" spans="1:9" ht="18" x14ac:dyDescent="0.2">
      <c r="A134" s="1">
        <v>45895</v>
      </c>
      <c r="B134" s="2">
        <v>111.37</v>
      </c>
      <c r="C134" s="2">
        <v>111.81</v>
      </c>
      <c r="D134" s="2">
        <v>110.36</v>
      </c>
      <c r="E134" s="2">
        <v>111.49</v>
      </c>
      <c r="F134" s="2">
        <v>109.79</v>
      </c>
      <c r="G134" s="3">
        <v>18143900</v>
      </c>
      <c r="I134">
        <f t="shared" si="2"/>
        <v>2.2423535743115977E-3</v>
      </c>
    </row>
    <row r="135" spans="1:9" ht="18" x14ac:dyDescent="0.2">
      <c r="A135" s="1">
        <v>45894</v>
      </c>
      <c r="B135" s="2">
        <v>110.9</v>
      </c>
      <c r="C135" s="2">
        <v>111.92</v>
      </c>
      <c r="D135" s="2">
        <v>110.54</v>
      </c>
      <c r="E135" s="2">
        <v>111.74</v>
      </c>
      <c r="F135" s="2">
        <v>110.04</v>
      </c>
      <c r="G135" s="3">
        <v>9744900</v>
      </c>
      <c r="I135">
        <f t="shared" si="2"/>
        <v>-4.1166994809378361E-3</v>
      </c>
    </row>
    <row r="136" spans="1:9" ht="18" x14ac:dyDescent="0.2">
      <c r="A136" s="1">
        <v>45891</v>
      </c>
      <c r="B136" s="2">
        <v>109.6</v>
      </c>
      <c r="C136" s="2">
        <v>111.41</v>
      </c>
      <c r="D136" s="2">
        <v>109.6</v>
      </c>
      <c r="E136" s="2">
        <v>111.28</v>
      </c>
      <c r="F136" s="2">
        <v>109.58</v>
      </c>
      <c r="G136" s="3">
        <v>13586700</v>
      </c>
      <c r="I136">
        <f t="shared" si="2"/>
        <v>-1.8421998562185453E-2</v>
      </c>
    </row>
    <row r="137" spans="1:9" ht="18" x14ac:dyDescent="0.2">
      <c r="A137" s="1">
        <v>45890</v>
      </c>
      <c r="B137" s="2">
        <v>108.42</v>
      </c>
      <c r="C137" s="2">
        <v>109.57</v>
      </c>
      <c r="D137" s="2">
        <v>107.96</v>
      </c>
      <c r="E137" s="2">
        <v>109.23</v>
      </c>
      <c r="F137" s="2">
        <v>107.57</v>
      </c>
      <c r="G137" s="3">
        <v>12194900</v>
      </c>
      <c r="I137">
        <f t="shared" si="2"/>
        <v>-6.4084958344777336E-3</v>
      </c>
    </row>
    <row r="138" spans="1:9" ht="18" x14ac:dyDescent="0.2">
      <c r="A138" s="1">
        <v>45889</v>
      </c>
      <c r="B138" s="2">
        <v>107.88</v>
      </c>
      <c r="C138" s="2">
        <v>109.33</v>
      </c>
      <c r="D138" s="2">
        <v>107.68</v>
      </c>
      <c r="E138" s="2">
        <v>108.53</v>
      </c>
      <c r="F138" s="2">
        <v>106.88</v>
      </c>
      <c r="G138" s="3">
        <v>18959700</v>
      </c>
      <c r="I138">
        <f t="shared" si="2"/>
        <v>-1.0227586842347732E-2</v>
      </c>
    </row>
    <row r="139" spans="1:9" ht="18" x14ac:dyDescent="0.2">
      <c r="A139" s="1">
        <v>45888</v>
      </c>
      <c r="B139" s="2">
        <v>106.2</v>
      </c>
      <c r="C139" s="2">
        <v>107.46</v>
      </c>
      <c r="D139" s="2">
        <v>106.15</v>
      </c>
      <c r="E139" s="2">
        <v>107.42</v>
      </c>
      <c r="F139" s="2">
        <v>105.78</v>
      </c>
      <c r="G139" s="3">
        <v>16113600</v>
      </c>
      <c r="I139">
        <f t="shared" si="2"/>
        <v>-6.5164773785142691E-3</v>
      </c>
    </row>
    <row r="140" spans="1:9" ht="18" x14ac:dyDescent="0.2">
      <c r="A140" s="1">
        <v>45887</v>
      </c>
      <c r="B140" s="2">
        <v>106.1</v>
      </c>
      <c r="C140" s="2">
        <v>107.23</v>
      </c>
      <c r="D140" s="2">
        <v>105.67</v>
      </c>
      <c r="E140" s="2">
        <v>106.72</v>
      </c>
      <c r="F140" s="2">
        <v>105.09</v>
      </c>
      <c r="G140" s="3">
        <v>13040000</v>
      </c>
      <c r="I140">
        <f>(E141-E140)/E140</f>
        <v>-2.1551724137931407E-3</v>
      </c>
    </row>
    <row r="141" spans="1:9" ht="18" x14ac:dyDescent="0.2">
      <c r="A141" s="1">
        <v>45884</v>
      </c>
      <c r="B141" s="2">
        <v>106.19</v>
      </c>
      <c r="C141" s="2">
        <v>107.56</v>
      </c>
      <c r="D141" s="2">
        <v>105.95</v>
      </c>
      <c r="E141" s="2">
        <v>106.49</v>
      </c>
      <c r="F141" s="2">
        <v>104.87</v>
      </c>
      <c r="G141" s="3">
        <v>19271900</v>
      </c>
      <c r="I141">
        <f t="shared" si="2"/>
        <v>8.3575922621842488E-3</v>
      </c>
    </row>
    <row r="142" spans="1:9" ht="18" x14ac:dyDescent="0.2">
      <c r="A142" s="1">
        <v>45883</v>
      </c>
      <c r="B142" s="2">
        <v>107.55</v>
      </c>
      <c r="C142" s="2">
        <v>107.59</v>
      </c>
      <c r="D142" s="2">
        <v>106.44</v>
      </c>
      <c r="E142" s="2">
        <v>107.38</v>
      </c>
      <c r="F142" s="2">
        <v>104.77</v>
      </c>
      <c r="G142" s="3">
        <v>13683500</v>
      </c>
      <c r="I142">
        <f t="shared" si="2"/>
        <v>2.0487986589681401E-3</v>
      </c>
    </row>
    <row r="143" spans="1:9" ht="18" x14ac:dyDescent="0.2">
      <c r="A143" s="1">
        <v>45882</v>
      </c>
      <c r="B143" s="2">
        <v>106</v>
      </c>
      <c r="C143" s="2">
        <v>107.6</v>
      </c>
      <c r="D143" s="2">
        <v>105.74</v>
      </c>
      <c r="E143" s="2">
        <v>107.6</v>
      </c>
      <c r="F143" s="2">
        <v>104.98</v>
      </c>
      <c r="G143" s="3">
        <v>17958700</v>
      </c>
      <c r="I143">
        <f t="shared" si="2"/>
        <v>-1.3661710037174712E-2</v>
      </c>
    </row>
    <row r="144" spans="1:9" ht="18" x14ac:dyDescent="0.2">
      <c r="A144" s="1">
        <v>45881</v>
      </c>
      <c r="B144" s="2">
        <v>106.34</v>
      </c>
      <c r="C144" s="2">
        <v>107.28</v>
      </c>
      <c r="D144" s="2">
        <v>105.78</v>
      </c>
      <c r="E144" s="2">
        <v>106.13</v>
      </c>
      <c r="F144" s="2">
        <v>103.55</v>
      </c>
      <c r="G144" s="3">
        <v>14109400</v>
      </c>
      <c r="I144">
        <f t="shared" si="2"/>
        <v>-2.8267219447846714E-3</v>
      </c>
    </row>
    <row r="145" spans="1:9" ht="18" x14ac:dyDescent="0.2">
      <c r="A145" s="1">
        <v>45880</v>
      </c>
      <c r="B145" s="2">
        <v>107.11</v>
      </c>
      <c r="C145" s="2">
        <v>107.53</v>
      </c>
      <c r="D145" s="2">
        <v>105.53</v>
      </c>
      <c r="E145" s="2">
        <v>105.83</v>
      </c>
      <c r="F145" s="2">
        <v>103.26</v>
      </c>
      <c r="G145" s="3">
        <v>13570700</v>
      </c>
      <c r="I145">
        <f t="shared" si="2"/>
        <v>9.1656430123783321E-3</v>
      </c>
    </row>
    <row r="146" spans="1:9" ht="18" x14ac:dyDescent="0.2">
      <c r="A146" s="1">
        <v>45877</v>
      </c>
      <c r="B146" s="2">
        <v>106.5</v>
      </c>
      <c r="C146" s="2">
        <v>107.51</v>
      </c>
      <c r="D146" s="2">
        <v>105.95</v>
      </c>
      <c r="E146" s="2">
        <v>106.8</v>
      </c>
      <c r="F146" s="2">
        <v>104.2</v>
      </c>
      <c r="G146" s="3">
        <v>14417700</v>
      </c>
      <c r="I146">
        <f t="shared" si="2"/>
        <v>-7.9588014981272874E-3</v>
      </c>
    </row>
    <row r="147" spans="1:9" ht="18" x14ac:dyDescent="0.2">
      <c r="A147" s="1">
        <v>45876</v>
      </c>
      <c r="B147" s="2">
        <v>107.14</v>
      </c>
      <c r="C147" s="2">
        <v>108.06</v>
      </c>
      <c r="D147" s="2">
        <v>105.89</v>
      </c>
      <c r="E147" s="2">
        <v>105.95</v>
      </c>
      <c r="F147" s="2">
        <v>103.37</v>
      </c>
      <c r="G147" s="3">
        <v>13468300</v>
      </c>
      <c r="I147">
        <f t="shared" si="2"/>
        <v>5.2855120339783132E-3</v>
      </c>
    </row>
    <row r="148" spans="1:9" ht="18" x14ac:dyDescent="0.2">
      <c r="A148" s="1">
        <v>45875</v>
      </c>
      <c r="B148" s="2">
        <v>108.31</v>
      </c>
      <c r="C148" s="2">
        <v>109.05</v>
      </c>
      <c r="D148" s="2">
        <v>106.37</v>
      </c>
      <c r="E148" s="2">
        <v>106.51</v>
      </c>
      <c r="F148" s="2">
        <v>103.92</v>
      </c>
      <c r="G148" s="3">
        <v>15321800</v>
      </c>
      <c r="I148">
        <f t="shared" si="2"/>
        <v>6.853816543047505E-3</v>
      </c>
    </row>
    <row r="149" spans="1:9" ht="18" x14ac:dyDescent="0.2">
      <c r="A149" s="1">
        <v>45874</v>
      </c>
      <c r="B149" s="2">
        <v>107.22</v>
      </c>
      <c r="C149" s="2">
        <v>107.82</v>
      </c>
      <c r="D149" s="2">
        <v>106.07</v>
      </c>
      <c r="E149" s="2">
        <v>107.24</v>
      </c>
      <c r="F149" s="2">
        <v>104.63</v>
      </c>
      <c r="G149" s="3">
        <v>21314300</v>
      </c>
      <c r="I149">
        <f t="shared" si="2"/>
        <v>1.2122342409549578E-3</v>
      </c>
    </row>
    <row r="150" spans="1:9" ht="18" x14ac:dyDescent="0.2">
      <c r="A150" s="1">
        <v>45873</v>
      </c>
      <c r="B150" s="2">
        <v>109.22</v>
      </c>
      <c r="C150" s="2">
        <v>109.92</v>
      </c>
      <c r="D150" s="2">
        <v>107.09</v>
      </c>
      <c r="E150" s="2">
        <v>107.37</v>
      </c>
      <c r="F150" s="2">
        <v>104.76</v>
      </c>
      <c r="G150" s="3">
        <v>19129500</v>
      </c>
      <c r="I150">
        <f t="shared" si="2"/>
        <v>2.1141845953245749E-2</v>
      </c>
    </row>
    <row r="151" spans="1:9" ht="18" x14ac:dyDescent="0.2">
      <c r="A151" s="1">
        <v>45870</v>
      </c>
      <c r="B151" s="2">
        <v>112</v>
      </c>
      <c r="C151" s="2">
        <v>112.54</v>
      </c>
      <c r="D151" s="2">
        <v>108.86</v>
      </c>
      <c r="E151" s="2">
        <v>109.64</v>
      </c>
      <c r="F151" s="2">
        <v>106.97</v>
      </c>
      <c r="G151" s="3">
        <v>19652000</v>
      </c>
      <c r="I151">
        <f t="shared" si="2"/>
        <v>1.8241517694272163E-2</v>
      </c>
    </row>
    <row r="152" spans="1:9" ht="18" x14ac:dyDescent="0.2">
      <c r="A152" s="1">
        <v>45869</v>
      </c>
      <c r="B152" s="2">
        <v>110.36</v>
      </c>
      <c r="C152" s="2">
        <v>112.5</v>
      </c>
      <c r="D152" s="2">
        <v>110.36</v>
      </c>
      <c r="E152" s="2">
        <v>111.64</v>
      </c>
      <c r="F152" s="2">
        <v>108.93</v>
      </c>
      <c r="G152" s="3">
        <v>17233700</v>
      </c>
      <c r="I152">
        <f t="shared" si="2"/>
        <v>2.3289143676102214E-3</v>
      </c>
    </row>
    <row r="153" spans="1:9" ht="18" x14ac:dyDescent="0.2">
      <c r="A153" s="1">
        <v>45868</v>
      </c>
      <c r="B153" s="2">
        <v>112.41</v>
      </c>
      <c r="C153" s="2">
        <v>112.61</v>
      </c>
      <c r="D153" s="2">
        <v>111.26</v>
      </c>
      <c r="E153" s="2">
        <v>111.9</v>
      </c>
      <c r="F153" s="2">
        <v>109.18</v>
      </c>
      <c r="G153" s="3">
        <v>12996900</v>
      </c>
      <c r="I153">
        <f t="shared" si="2"/>
        <v>8.7578194816799789E-3</v>
      </c>
    </row>
    <row r="154" spans="1:9" ht="18" x14ac:dyDescent="0.2">
      <c r="A154" s="1">
        <v>45867</v>
      </c>
      <c r="B154" s="2">
        <v>111.9</v>
      </c>
      <c r="C154" s="2">
        <v>113</v>
      </c>
      <c r="D154" s="2">
        <v>111.41</v>
      </c>
      <c r="E154" s="2">
        <v>112.88</v>
      </c>
      <c r="F154" s="2">
        <v>110.14</v>
      </c>
      <c r="G154" s="3">
        <v>15928000</v>
      </c>
      <c r="I154">
        <f t="shared" si="2"/>
        <v>-1.2756909992912808E-2</v>
      </c>
    </row>
    <row r="155" spans="1:9" ht="18" x14ac:dyDescent="0.2">
      <c r="A155" s="1">
        <v>45866</v>
      </c>
      <c r="B155" s="2">
        <v>111</v>
      </c>
      <c r="C155" s="2">
        <v>112.11</v>
      </c>
      <c r="D155" s="2">
        <v>110.84</v>
      </c>
      <c r="E155" s="2">
        <v>111.44</v>
      </c>
      <c r="F155" s="2">
        <v>108.73</v>
      </c>
      <c r="G155" s="3">
        <v>12353000</v>
      </c>
      <c r="I155">
        <f t="shared" si="2"/>
        <v>-9.3323761665469497E-3</v>
      </c>
    </row>
    <row r="156" spans="1:9" ht="18" x14ac:dyDescent="0.2">
      <c r="A156" s="1">
        <v>45863</v>
      </c>
      <c r="B156" s="2">
        <v>110.73</v>
      </c>
      <c r="C156" s="2">
        <v>110.98</v>
      </c>
      <c r="D156" s="2">
        <v>109.7</v>
      </c>
      <c r="E156" s="2">
        <v>110.4</v>
      </c>
      <c r="F156" s="2">
        <v>107.72</v>
      </c>
      <c r="G156" s="3">
        <v>10548900</v>
      </c>
      <c r="I156">
        <f t="shared" si="2"/>
        <v>3.5326086956521787E-3</v>
      </c>
    </row>
    <row r="157" spans="1:9" ht="18" x14ac:dyDescent="0.2">
      <c r="A157" s="1">
        <v>45862</v>
      </c>
      <c r="B157" s="2">
        <v>109.66</v>
      </c>
      <c r="C157" s="2">
        <v>110.95</v>
      </c>
      <c r="D157" s="2">
        <v>109.13</v>
      </c>
      <c r="E157" s="2">
        <v>110.79</v>
      </c>
      <c r="F157" s="2">
        <v>108.1</v>
      </c>
      <c r="G157" s="3">
        <v>15647200</v>
      </c>
      <c r="I157">
        <f t="shared" si="2"/>
        <v>-7.7624334326202669E-3</v>
      </c>
    </row>
    <row r="158" spans="1:9" ht="18" x14ac:dyDescent="0.2">
      <c r="A158" s="1">
        <v>45861</v>
      </c>
      <c r="B158" s="2">
        <v>108.93</v>
      </c>
      <c r="C158" s="2">
        <v>110</v>
      </c>
      <c r="D158" s="2">
        <v>108.85</v>
      </c>
      <c r="E158" s="2">
        <v>109.93</v>
      </c>
      <c r="F158" s="2">
        <v>107.26</v>
      </c>
      <c r="G158" s="3">
        <v>12002700</v>
      </c>
      <c r="I158">
        <f t="shared" si="2"/>
        <v>-1.2644410079141277E-2</v>
      </c>
    </row>
    <row r="159" spans="1:9" ht="18" x14ac:dyDescent="0.2">
      <c r="A159" s="1">
        <v>45860</v>
      </c>
      <c r="B159" s="2">
        <v>107.98</v>
      </c>
      <c r="C159" s="2">
        <v>109.44</v>
      </c>
      <c r="D159" s="2">
        <v>107.61</v>
      </c>
      <c r="E159" s="2">
        <v>108.54</v>
      </c>
      <c r="F159" s="2">
        <v>105.9</v>
      </c>
      <c r="G159" s="3">
        <v>13970900</v>
      </c>
      <c r="I159">
        <f t="shared" si="2"/>
        <v>-4.5144647134697721E-3</v>
      </c>
    </row>
    <row r="160" spans="1:9" ht="18" x14ac:dyDescent="0.2">
      <c r="A160" s="1">
        <v>45859</v>
      </c>
      <c r="B160" s="2">
        <v>107.6</v>
      </c>
      <c r="C160" s="2">
        <v>108.77</v>
      </c>
      <c r="D160" s="2">
        <v>107.44</v>
      </c>
      <c r="E160" s="2">
        <v>108.05</v>
      </c>
      <c r="F160" s="2">
        <v>105.42</v>
      </c>
      <c r="G160" s="3">
        <v>17010400</v>
      </c>
      <c r="I160">
        <f t="shared" si="2"/>
        <v>-2.5913928736696081E-3</v>
      </c>
    </row>
    <row r="161" spans="1:9" ht="18" x14ac:dyDescent="0.2">
      <c r="A161" s="1">
        <v>45856</v>
      </c>
      <c r="B161" s="2">
        <v>111.11</v>
      </c>
      <c r="C161" s="2">
        <v>111.73</v>
      </c>
      <c r="D161" s="2">
        <v>107.34</v>
      </c>
      <c r="E161" s="2">
        <v>107.77</v>
      </c>
      <c r="F161" s="2">
        <v>105.15</v>
      </c>
      <c r="G161" s="3">
        <v>32366600</v>
      </c>
      <c r="I161">
        <f t="shared" si="2"/>
        <v>3.6095388326992675E-2</v>
      </c>
    </row>
    <row r="162" spans="1:9" ht="18" x14ac:dyDescent="0.2">
      <c r="A162" s="1">
        <v>45855</v>
      </c>
      <c r="B162" s="2">
        <v>111.49</v>
      </c>
      <c r="C162" s="2">
        <v>112.23</v>
      </c>
      <c r="D162" s="2">
        <v>111.09</v>
      </c>
      <c r="E162" s="2">
        <v>111.66</v>
      </c>
      <c r="F162" s="2">
        <v>108.95</v>
      </c>
      <c r="G162" s="3">
        <v>13151400</v>
      </c>
      <c r="I162">
        <f t="shared" si="2"/>
        <v>5.1047823750672346E-3</v>
      </c>
    </row>
    <row r="163" spans="1:9" ht="18" x14ac:dyDescent="0.2">
      <c r="A163" s="1">
        <v>45854</v>
      </c>
      <c r="B163" s="2">
        <v>112.88</v>
      </c>
      <c r="C163" s="2">
        <v>113.5</v>
      </c>
      <c r="D163" s="2">
        <v>112.1</v>
      </c>
      <c r="E163" s="2">
        <v>112.23</v>
      </c>
      <c r="F163" s="2">
        <v>109.5</v>
      </c>
      <c r="G163" s="3">
        <v>11158900</v>
      </c>
      <c r="I163">
        <f t="shared" si="2"/>
        <v>6.0589860108704674E-3</v>
      </c>
    </row>
    <row r="164" spans="1:9" ht="18" x14ac:dyDescent="0.2">
      <c r="A164" s="1">
        <v>45853</v>
      </c>
      <c r="B164" s="2">
        <v>113.66</v>
      </c>
      <c r="C164" s="2">
        <v>114.06</v>
      </c>
      <c r="D164" s="2">
        <v>112.6</v>
      </c>
      <c r="E164" s="2">
        <v>112.91</v>
      </c>
      <c r="F164" s="2">
        <v>110.16</v>
      </c>
      <c r="G164" s="3">
        <v>10959300</v>
      </c>
      <c r="I164">
        <f t="shared" si="2"/>
        <v>8.9451775750598282E-3</v>
      </c>
    </row>
    <row r="165" spans="1:9" ht="18" x14ac:dyDescent="0.2">
      <c r="A165" s="1">
        <v>45852</v>
      </c>
      <c r="B165" s="2">
        <v>115.23</v>
      </c>
      <c r="C165" s="2">
        <v>115.23</v>
      </c>
      <c r="D165" s="2">
        <v>113.22</v>
      </c>
      <c r="E165" s="2">
        <v>113.92</v>
      </c>
      <c r="F165" s="2">
        <v>111.15</v>
      </c>
      <c r="G165" s="3">
        <v>13220300</v>
      </c>
      <c r="I165">
        <f t="shared" si="2"/>
        <v>1.3254915730337123E-2</v>
      </c>
    </row>
    <row r="166" spans="1:9" ht="18" x14ac:dyDescent="0.2">
      <c r="A166" s="1">
        <v>45849</v>
      </c>
      <c r="B166" s="2">
        <v>114.85</v>
      </c>
      <c r="C166" s="2">
        <v>115.76</v>
      </c>
      <c r="D166" s="2">
        <v>114.51</v>
      </c>
      <c r="E166" s="2">
        <v>115.43</v>
      </c>
      <c r="F166" s="2">
        <v>112.62</v>
      </c>
      <c r="G166" s="3">
        <v>11683900</v>
      </c>
      <c r="I166">
        <f t="shared" si="2"/>
        <v>-4.3316295590401102E-3</v>
      </c>
    </row>
    <row r="167" spans="1:9" ht="18" x14ac:dyDescent="0.2">
      <c r="A167" s="1">
        <v>45848</v>
      </c>
      <c r="B167" s="2">
        <v>113.71</v>
      </c>
      <c r="C167" s="2">
        <v>115.27</v>
      </c>
      <c r="D167" s="2">
        <v>113.07</v>
      </c>
      <c r="E167" s="2">
        <v>114.93</v>
      </c>
      <c r="F167" s="2">
        <v>112.14</v>
      </c>
      <c r="G167" s="3">
        <v>14901700</v>
      </c>
      <c r="I167">
        <f t="shared" si="2"/>
        <v>-9.8320716958149278E-3</v>
      </c>
    </row>
    <row r="168" spans="1:9" ht="18" x14ac:dyDescent="0.2">
      <c r="A168" s="1">
        <v>45847</v>
      </c>
      <c r="B168" s="2">
        <v>113.92</v>
      </c>
      <c r="C168" s="2">
        <v>114.27</v>
      </c>
      <c r="D168" s="2">
        <v>113.27</v>
      </c>
      <c r="E168" s="2">
        <v>113.8</v>
      </c>
      <c r="F168" s="2">
        <v>111.03</v>
      </c>
      <c r="G168" s="3">
        <v>10652100</v>
      </c>
      <c r="I168">
        <f t="shared" si="2"/>
        <v>3.4270650263620436E-3</v>
      </c>
    </row>
    <row r="169" spans="1:9" ht="18" x14ac:dyDescent="0.2">
      <c r="A169" s="1">
        <v>45846</v>
      </c>
      <c r="B169" s="2">
        <v>110.89</v>
      </c>
      <c r="C169" s="2">
        <v>114.46</v>
      </c>
      <c r="D169" s="2">
        <v>110.85</v>
      </c>
      <c r="E169" s="2">
        <v>114.19</v>
      </c>
      <c r="F169" s="2">
        <v>111.41</v>
      </c>
      <c r="G169" s="3">
        <v>17913400</v>
      </c>
      <c r="I169">
        <f t="shared" si="2"/>
        <v>-2.6972589543742872E-2</v>
      </c>
    </row>
    <row r="170" spans="1:9" ht="18" x14ac:dyDescent="0.2">
      <c r="A170" s="1">
        <v>45845</v>
      </c>
      <c r="B170" s="2">
        <v>111.54</v>
      </c>
      <c r="C170" s="2">
        <v>112.05</v>
      </c>
      <c r="D170" s="2">
        <v>110.22</v>
      </c>
      <c r="E170" s="2">
        <v>111.11</v>
      </c>
      <c r="F170" s="2">
        <v>108.41</v>
      </c>
      <c r="G170" s="3">
        <v>15415900</v>
      </c>
      <c r="I170">
        <f t="shared" si="2"/>
        <v>9.810098100981041E-3</v>
      </c>
    </row>
    <row r="171" spans="1:9" ht="18" x14ac:dyDescent="0.2">
      <c r="A171" s="1">
        <v>45841</v>
      </c>
      <c r="B171" s="2">
        <v>110.86</v>
      </c>
      <c r="C171" s="2">
        <v>112.47</v>
      </c>
      <c r="D171" s="2">
        <v>110.62</v>
      </c>
      <c r="E171" s="2">
        <v>112.2</v>
      </c>
      <c r="F171" s="2">
        <v>109.47</v>
      </c>
      <c r="G171" s="3">
        <v>11223600</v>
      </c>
      <c r="I171">
        <f t="shared" si="2"/>
        <v>-1.0249554367201477E-2</v>
      </c>
    </row>
    <row r="172" spans="1:9" ht="18" x14ac:dyDescent="0.2">
      <c r="A172" s="1">
        <v>45840</v>
      </c>
      <c r="B172" s="2">
        <v>110</v>
      </c>
      <c r="C172" s="2">
        <v>111.36</v>
      </c>
      <c r="D172" s="2">
        <v>108.83</v>
      </c>
      <c r="E172" s="2">
        <v>111.05</v>
      </c>
      <c r="F172" s="2">
        <v>108.35</v>
      </c>
      <c r="G172" s="3">
        <v>11892200</v>
      </c>
      <c r="I172">
        <f t="shared" si="2"/>
        <v>-1.6298964430436762E-2</v>
      </c>
    </row>
    <row r="173" spans="1:9" ht="18" x14ac:dyDescent="0.2">
      <c r="A173" s="1">
        <v>45839</v>
      </c>
      <c r="B173" s="2">
        <v>108.13</v>
      </c>
      <c r="C173" s="2">
        <v>109.64</v>
      </c>
      <c r="D173" s="2">
        <v>107.15</v>
      </c>
      <c r="E173" s="2">
        <v>109.24</v>
      </c>
      <c r="F173" s="2">
        <v>106.58</v>
      </c>
      <c r="G173" s="3">
        <v>15536900</v>
      </c>
      <c r="I173">
        <f t="shared" si="2"/>
        <v>-1.3181984621017922E-2</v>
      </c>
    </row>
    <row r="174" spans="1:9" ht="18" x14ac:dyDescent="0.2">
      <c r="A174" s="1">
        <v>45838</v>
      </c>
      <c r="B174" s="2">
        <v>108.64</v>
      </c>
      <c r="C174" s="2">
        <v>108.84</v>
      </c>
      <c r="D174" s="2">
        <v>107.72</v>
      </c>
      <c r="E174" s="2">
        <v>107.8</v>
      </c>
      <c r="F174" s="2">
        <v>105.18</v>
      </c>
      <c r="G174" s="3">
        <v>19199000</v>
      </c>
      <c r="I174">
        <f t="shared" si="2"/>
        <v>1.4656771799628926E-2</v>
      </c>
    </row>
    <row r="175" spans="1:9" ht="18" x14ac:dyDescent="0.2">
      <c r="A175" s="1">
        <v>45835</v>
      </c>
      <c r="B175" s="2">
        <v>109.94</v>
      </c>
      <c r="C175" s="2">
        <v>110.1</v>
      </c>
      <c r="D175" s="2">
        <v>108.37</v>
      </c>
      <c r="E175" s="2">
        <v>109.38</v>
      </c>
      <c r="F175" s="2">
        <v>106.72</v>
      </c>
      <c r="G175" s="3">
        <v>22002100</v>
      </c>
      <c r="I175">
        <f t="shared" si="2"/>
        <v>5.5768879136953694E-3</v>
      </c>
    </row>
    <row r="176" spans="1:9" ht="18" x14ac:dyDescent="0.2">
      <c r="A176" s="1">
        <v>45834</v>
      </c>
      <c r="B176" s="2">
        <v>108.94</v>
      </c>
      <c r="C176" s="2">
        <v>110.44</v>
      </c>
      <c r="D176" s="2">
        <v>108.55</v>
      </c>
      <c r="E176" s="2">
        <v>109.99</v>
      </c>
      <c r="F176" s="2">
        <v>107.32</v>
      </c>
      <c r="G176" s="3">
        <v>18304800</v>
      </c>
      <c r="I176">
        <f t="shared" si="2"/>
        <v>-1.4728611691971909E-2</v>
      </c>
    </row>
    <row r="177" spans="1:9" ht="18" x14ac:dyDescent="0.2">
      <c r="A177" s="1">
        <v>45833</v>
      </c>
      <c r="B177" s="2">
        <v>108.11</v>
      </c>
      <c r="C177" s="2">
        <v>109.24</v>
      </c>
      <c r="D177" s="2">
        <v>107.7</v>
      </c>
      <c r="E177" s="2">
        <v>108.37</v>
      </c>
      <c r="F177" s="2">
        <v>105.74</v>
      </c>
      <c r="G177" s="3">
        <v>17483200</v>
      </c>
      <c r="I177">
        <f t="shared" si="2"/>
        <v>-2.7682938082496203E-4</v>
      </c>
    </row>
    <row r="178" spans="1:9" ht="18" x14ac:dyDescent="0.2">
      <c r="A178" s="1">
        <v>45832</v>
      </c>
      <c r="B178" s="2">
        <v>109.25</v>
      </c>
      <c r="C178" s="2">
        <v>110.94</v>
      </c>
      <c r="D178" s="2">
        <v>107.91</v>
      </c>
      <c r="E178" s="2">
        <v>108.34</v>
      </c>
      <c r="F178" s="2">
        <v>105.71</v>
      </c>
      <c r="G178" s="3">
        <v>24828300</v>
      </c>
      <c r="I178">
        <f t="shared" si="2"/>
        <v>3.1382684142514231E-2</v>
      </c>
    </row>
    <row r="179" spans="1:9" ht="18" x14ac:dyDescent="0.2">
      <c r="A179" s="1">
        <v>45831</v>
      </c>
      <c r="B179" s="2">
        <v>116.7</v>
      </c>
      <c r="C179" s="2">
        <v>116.95</v>
      </c>
      <c r="D179" s="2">
        <v>111.16</v>
      </c>
      <c r="E179" s="2">
        <v>111.74</v>
      </c>
      <c r="F179" s="2">
        <v>109.02</v>
      </c>
      <c r="G179" s="3">
        <v>26631100</v>
      </c>
      <c r="I179">
        <f t="shared" si="2"/>
        <v>2.6490066225165636E-2</v>
      </c>
    </row>
    <row r="180" spans="1:9" ht="18" x14ac:dyDescent="0.2">
      <c r="A180" s="1">
        <v>45828</v>
      </c>
      <c r="B180" s="2">
        <v>113.45</v>
      </c>
      <c r="C180" s="2">
        <v>115.04</v>
      </c>
      <c r="D180" s="2">
        <v>113.18</v>
      </c>
      <c r="E180" s="2">
        <v>114.7</v>
      </c>
      <c r="F180" s="2">
        <v>111.91</v>
      </c>
      <c r="G180" s="3">
        <v>36273300</v>
      </c>
      <c r="I180">
        <f t="shared" si="2"/>
        <v>-1.3164777680906757E-2</v>
      </c>
    </row>
    <row r="181" spans="1:9" ht="18" x14ac:dyDescent="0.2">
      <c r="A181" s="1">
        <v>45826</v>
      </c>
      <c r="B181" s="2">
        <v>114.61</v>
      </c>
      <c r="C181" s="2">
        <v>115.24</v>
      </c>
      <c r="D181" s="2">
        <v>112.94</v>
      </c>
      <c r="E181" s="2">
        <v>113.19</v>
      </c>
      <c r="F181" s="2">
        <v>110.44</v>
      </c>
      <c r="G181" s="3">
        <v>17968900</v>
      </c>
      <c r="I181">
        <f t="shared" si="2"/>
        <v>7.1561091969255435E-3</v>
      </c>
    </row>
    <row r="182" spans="1:9" ht="18" x14ac:dyDescent="0.2">
      <c r="A182" s="1">
        <v>45825</v>
      </c>
      <c r="B182" s="2">
        <v>113.95</v>
      </c>
      <c r="C182" s="2">
        <v>114.93</v>
      </c>
      <c r="D182" s="2">
        <v>113.11</v>
      </c>
      <c r="E182" s="2">
        <v>114</v>
      </c>
      <c r="F182" s="2">
        <v>111.23</v>
      </c>
      <c r="G182" s="3">
        <v>19451700</v>
      </c>
      <c r="I182">
        <f t="shared" si="2"/>
        <v>-1.3333333333333298E-2</v>
      </c>
    </row>
    <row r="183" spans="1:9" ht="18" x14ac:dyDescent="0.2">
      <c r="A183" s="1">
        <v>45824</v>
      </c>
      <c r="B183" s="2">
        <v>111.82</v>
      </c>
      <c r="C183" s="2">
        <v>113.16</v>
      </c>
      <c r="D183" s="2">
        <v>111.13</v>
      </c>
      <c r="E183" s="2">
        <v>112.48</v>
      </c>
      <c r="F183" s="2">
        <v>109.75</v>
      </c>
      <c r="G183" s="3">
        <v>22986100</v>
      </c>
      <c r="I183">
        <f t="shared" si="2"/>
        <v>-3.2005689900426689E-3</v>
      </c>
    </row>
    <row r="184" spans="1:9" ht="18" x14ac:dyDescent="0.2">
      <c r="A184" s="1">
        <v>45821</v>
      </c>
      <c r="B184" s="2">
        <v>112.35</v>
      </c>
      <c r="C184" s="2">
        <v>112.53</v>
      </c>
      <c r="D184" s="2">
        <v>110.68</v>
      </c>
      <c r="E184" s="2">
        <v>112.12</v>
      </c>
      <c r="F184" s="2">
        <v>109.39</v>
      </c>
      <c r="G184" s="3">
        <v>28540200</v>
      </c>
      <c r="I184">
        <f t="shared" si="2"/>
        <v>-2.1316446664288266E-2</v>
      </c>
    </row>
    <row r="185" spans="1:9" ht="18" x14ac:dyDescent="0.2">
      <c r="A185" s="1">
        <v>45820</v>
      </c>
      <c r="B185" s="2">
        <v>108.92</v>
      </c>
      <c r="C185" s="2">
        <v>110.19</v>
      </c>
      <c r="D185" s="2">
        <v>108.22</v>
      </c>
      <c r="E185" s="2">
        <v>109.73</v>
      </c>
      <c r="F185" s="2">
        <v>107.06</v>
      </c>
      <c r="G185" s="3">
        <v>17469400</v>
      </c>
      <c r="I185">
        <f t="shared" si="2"/>
        <v>-3.8275767793675541E-3</v>
      </c>
    </row>
    <row r="186" spans="1:9" ht="18" x14ac:dyDescent="0.2">
      <c r="A186" s="1">
        <v>45819</v>
      </c>
      <c r="B186" s="2">
        <v>107.76</v>
      </c>
      <c r="C186" s="2">
        <v>109.39</v>
      </c>
      <c r="D186" s="2">
        <v>106.46</v>
      </c>
      <c r="E186" s="2">
        <v>109.31</v>
      </c>
      <c r="F186" s="2">
        <v>106.65</v>
      </c>
      <c r="G186" s="3">
        <v>22648200</v>
      </c>
      <c r="I186">
        <f t="shared" si="2"/>
        <v>-1.9119934132284359E-2</v>
      </c>
    </row>
    <row r="187" spans="1:9" ht="18" x14ac:dyDescent="0.2">
      <c r="A187" s="1">
        <v>45818</v>
      </c>
      <c r="B187" s="2">
        <v>106.08</v>
      </c>
      <c r="C187" s="2">
        <v>107.65</v>
      </c>
      <c r="D187" s="2">
        <v>105.93</v>
      </c>
      <c r="E187" s="2">
        <v>107.22</v>
      </c>
      <c r="F187" s="2">
        <v>104.61</v>
      </c>
      <c r="G187" s="3">
        <v>17634800</v>
      </c>
      <c r="I187">
        <f t="shared" si="2"/>
        <v>-2.0984890878567433E-2</v>
      </c>
    </row>
    <row r="188" spans="1:9" ht="18" x14ac:dyDescent="0.2">
      <c r="A188" s="1">
        <v>45817</v>
      </c>
      <c r="B188" s="2">
        <v>104.33</v>
      </c>
      <c r="C188" s="2">
        <v>105.85</v>
      </c>
      <c r="D188" s="2">
        <v>103.83</v>
      </c>
      <c r="E188" s="2">
        <v>104.97</v>
      </c>
      <c r="F188" s="2">
        <v>102.42</v>
      </c>
      <c r="G188" s="3">
        <v>17087300</v>
      </c>
      <c r="I188">
        <f t="shared" si="2"/>
        <v>-6.6685719729446778E-3</v>
      </c>
    </row>
    <row r="189" spans="1:9" ht="18" x14ac:dyDescent="0.2">
      <c r="A189" s="1">
        <v>45814</v>
      </c>
      <c r="B189" s="2">
        <v>102.76</v>
      </c>
      <c r="C189" s="2">
        <v>104.5</v>
      </c>
      <c r="D189" s="2">
        <v>102.68</v>
      </c>
      <c r="E189" s="2">
        <v>104.27</v>
      </c>
      <c r="F189" s="2">
        <v>101.73</v>
      </c>
      <c r="G189" s="3">
        <v>15487800</v>
      </c>
      <c r="I189">
        <f t="shared" si="2"/>
        <v>-2.3400786419871467E-2</v>
      </c>
    </row>
    <row r="190" spans="1:9" ht="18" x14ac:dyDescent="0.2">
      <c r="A190" s="1">
        <v>45813</v>
      </c>
      <c r="B190" s="2">
        <v>102.98</v>
      </c>
      <c r="C190" s="2">
        <v>103.05</v>
      </c>
      <c r="D190" s="2">
        <v>101.73</v>
      </c>
      <c r="E190" s="2">
        <v>101.83</v>
      </c>
      <c r="F190" s="2">
        <v>99.35</v>
      </c>
      <c r="G190" s="3">
        <v>13924800</v>
      </c>
      <c r="I190">
        <f t="shared" si="2"/>
        <v>4.6155356967494737E-3</v>
      </c>
    </row>
    <row r="191" spans="1:9" ht="18" x14ac:dyDescent="0.2">
      <c r="A191" s="1">
        <v>45812</v>
      </c>
      <c r="B191" s="2">
        <v>103.92</v>
      </c>
      <c r="C191" s="2">
        <v>104.92</v>
      </c>
      <c r="D191" s="2">
        <v>102.3</v>
      </c>
      <c r="E191" s="2">
        <v>102.3</v>
      </c>
      <c r="F191" s="2">
        <v>99.81</v>
      </c>
      <c r="G191" s="3">
        <v>15648500</v>
      </c>
      <c r="I191">
        <f t="shared" si="2"/>
        <v>1.466275659824047E-2</v>
      </c>
    </row>
    <row r="192" spans="1:9" ht="18" x14ac:dyDescent="0.2">
      <c r="A192" s="1">
        <v>45811</v>
      </c>
      <c r="B192" s="2">
        <v>102.9</v>
      </c>
      <c r="C192" s="2">
        <v>104.66</v>
      </c>
      <c r="D192" s="2">
        <v>102.21</v>
      </c>
      <c r="E192" s="2">
        <v>103.8</v>
      </c>
      <c r="F192" s="2">
        <v>101.28</v>
      </c>
      <c r="G192" s="3">
        <v>19194300</v>
      </c>
      <c r="I192">
        <f t="shared" ref="I192:I253" si="3">(E193-E192)/E192</f>
        <v>-7.2254335260115606E-3</v>
      </c>
    </row>
    <row r="193" spans="1:9" ht="18" x14ac:dyDescent="0.2">
      <c r="A193" s="1">
        <v>45810</v>
      </c>
      <c r="B193" s="2">
        <v>103.75</v>
      </c>
      <c r="C193" s="2">
        <v>103.85</v>
      </c>
      <c r="D193" s="2">
        <v>102.22</v>
      </c>
      <c r="E193" s="2">
        <v>103.05</v>
      </c>
      <c r="F193" s="2">
        <v>100.54</v>
      </c>
      <c r="G193" s="3">
        <v>17290500</v>
      </c>
      <c r="I193">
        <f t="shared" si="3"/>
        <v>-7.2780203784570596E-3</v>
      </c>
    </row>
    <row r="194" spans="1:9" ht="18" x14ac:dyDescent="0.2">
      <c r="A194" s="1">
        <v>45807</v>
      </c>
      <c r="B194" s="2">
        <v>102.16</v>
      </c>
      <c r="C194" s="2">
        <v>102.39</v>
      </c>
      <c r="D194" s="2">
        <v>101.19</v>
      </c>
      <c r="E194" s="2">
        <v>102.3</v>
      </c>
      <c r="F194" s="2">
        <v>99.81</v>
      </c>
      <c r="G194" s="3">
        <v>28645800</v>
      </c>
      <c r="I194">
        <f t="shared" si="3"/>
        <v>3.8123167155425276E-3</v>
      </c>
    </row>
    <row r="195" spans="1:9" ht="18" x14ac:dyDescent="0.2">
      <c r="A195" s="1">
        <v>45806</v>
      </c>
      <c r="B195" s="2">
        <v>102.28</v>
      </c>
      <c r="C195" s="2">
        <v>102.85</v>
      </c>
      <c r="D195" s="2">
        <v>101.75</v>
      </c>
      <c r="E195" s="2">
        <v>102.69</v>
      </c>
      <c r="F195" s="2">
        <v>100.19</v>
      </c>
      <c r="G195" s="3">
        <v>13825300</v>
      </c>
      <c r="I195">
        <f t="shared" si="3"/>
        <v>-5.6480669977602331E-3</v>
      </c>
    </row>
    <row r="196" spans="1:9" ht="18" x14ac:dyDescent="0.2">
      <c r="A196" s="1">
        <v>45805</v>
      </c>
      <c r="B196" s="2">
        <v>104.29</v>
      </c>
      <c r="C196" s="2">
        <v>104.43</v>
      </c>
      <c r="D196" s="2">
        <v>101.79</v>
      </c>
      <c r="E196" s="2">
        <v>102.11</v>
      </c>
      <c r="F196" s="2">
        <v>99.63</v>
      </c>
      <c r="G196" s="3">
        <v>14292400</v>
      </c>
      <c r="I196">
        <f t="shared" si="3"/>
        <v>1.3808637743609799E-2</v>
      </c>
    </row>
    <row r="197" spans="1:9" ht="18" x14ac:dyDescent="0.2">
      <c r="A197" s="1">
        <v>45804</v>
      </c>
      <c r="B197" s="2">
        <v>103.49</v>
      </c>
      <c r="C197" s="2">
        <v>103.86</v>
      </c>
      <c r="D197" s="2">
        <v>102.9</v>
      </c>
      <c r="E197" s="2">
        <v>103.52</v>
      </c>
      <c r="F197" s="2">
        <v>101</v>
      </c>
      <c r="G197" s="3">
        <v>13043600</v>
      </c>
      <c r="I197">
        <f t="shared" si="3"/>
        <v>-4.7333848531684207E-3</v>
      </c>
    </row>
    <row r="198" spans="1:9" ht="18" x14ac:dyDescent="0.2">
      <c r="A198" s="1">
        <v>45800</v>
      </c>
      <c r="B198" s="2">
        <v>102.6</v>
      </c>
      <c r="C198" s="2">
        <v>103.47</v>
      </c>
      <c r="D198" s="2">
        <v>102.07</v>
      </c>
      <c r="E198" s="2">
        <v>103.03</v>
      </c>
      <c r="F198" s="2">
        <v>100.52</v>
      </c>
      <c r="G198" s="3">
        <v>12061600</v>
      </c>
      <c r="I198">
        <f t="shared" si="3"/>
        <v>-5.8235465398429845E-4</v>
      </c>
    </row>
    <row r="199" spans="1:9" ht="18" x14ac:dyDescent="0.2">
      <c r="A199" s="1">
        <v>45799</v>
      </c>
      <c r="B199" s="2">
        <v>103.06</v>
      </c>
      <c r="C199" s="2">
        <v>103.47</v>
      </c>
      <c r="D199" s="2">
        <v>101.89</v>
      </c>
      <c r="E199" s="2">
        <v>102.97</v>
      </c>
      <c r="F199" s="2">
        <v>100.47</v>
      </c>
      <c r="G199" s="3">
        <v>13417400</v>
      </c>
      <c r="I199">
        <f t="shared" si="3"/>
        <v>6.7009808682140211E-3</v>
      </c>
    </row>
    <row r="200" spans="1:9" ht="18" x14ac:dyDescent="0.2">
      <c r="A200" s="1">
        <v>45798</v>
      </c>
      <c r="B200" s="2">
        <v>104.53</v>
      </c>
      <c r="C200" s="2">
        <v>104.97</v>
      </c>
      <c r="D200" s="2">
        <v>103.64</v>
      </c>
      <c r="E200" s="2">
        <v>103.66</v>
      </c>
      <c r="F200" s="2">
        <v>101.14</v>
      </c>
      <c r="G200" s="3">
        <v>16716100</v>
      </c>
      <c r="I200">
        <f t="shared" si="3"/>
        <v>1.2444530194867898E-2</v>
      </c>
    </row>
    <row r="201" spans="1:9" ht="18" x14ac:dyDescent="0.2">
      <c r="A201" s="1">
        <v>45797</v>
      </c>
      <c r="B201" s="2">
        <v>106.39</v>
      </c>
      <c r="C201" s="2">
        <v>106.72</v>
      </c>
      <c r="D201" s="2">
        <v>104.78</v>
      </c>
      <c r="E201" s="2">
        <v>104.95</v>
      </c>
      <c r="F201" s="2">
        <v>102.4</v>
      </c>
      <c r="G201" s="3">
        <v>12429300</v>
      </c>
      <c r="I201">
        <f t="shared" si="3"/>
        <v>1.4483087184373473E-2</v>
      </c>
    </row>
    <row r="202" spans="1:9" ht="18" x14ac:dyDescent="0.2">
      <c r="A202" s="1">
        <v>45796</v>
      </c>
      <c r="B202" s="2">
        <v>107.57</v>
      </c>
      <c r="C202" s="2">
        <v>107.57</v>
      </c>
      <c r="D202" s="2">
        <v>105.72</v>
      </c>
      <c r="E202" s="2">
        <v>106.47</v>
      </c>
      <c r="F202" s="2">
        <v>103.88</v>
      </c>
      <c r="G202" s="3">
        <v>16802700</v>
      </c>
      <c r="I202">
        <f>(E203-E202)/E202</f>
        <v>1.6154785385554607E-2</v>
      </c>
    </row>
    <row r="203" spans="1:9" ht="18" x14ac:dyDescent="0.2">
      <c r="A203" s="1">
        <v>45793</v>
      </c>
      <c r="B203" s="2">
        <v>108.65</v>
      </c>
      <c r="C203" s="2">
        <v>108.89</v>
      </c>
      <c r="D203" s="2">
        <v>107.45</v>
      </c>
      <c r="E203" s="2">
        <v>108.19</v>
      </c>
      <c r="F203" s="2">
        <v>105.56</v>
      </c>
      <c r="G203" s="3">
        <v>14042500</v>
      </c>
      <c r="I203">
        <f>(E204-E203)/E203</f>
        <v>3.6047693871892094E-3</v>
      </c>
    </row>
    <row r="204" spans="1:9" ht="18" x14ac:dyDescent="0.2">
      <c r="A204" s="1">
        <v>45792</v>
      </c>
      <c r="B204" s="2">
        <v>106.49</v>
      </c>
      <c r="C204" s="2">
        <v>108.65</v>
      </c>
      <c r="D204" s="2">
        <v>105.97</v>
      </c>
      <c r="E204" s="2">
        <v>108.58</v>
      </c>
      <c r="F204" s="2">
        <v>105.94</v>
      </c>
      <c r="G204" s="3">
        <v>15004300</v>
      </c>
      <c r="I204">
        <f>(E205-E204)/E204</f>
        <v>-9.209799226376342E-4</v>
      </c>
    </row>
    <row r="205" spans="1:9" ht="18" x14ac:dyDescent="0.2">
      <c r="A205" s="1">
        <v>45791</v>
      </c>
      <c r="B205" s="2">
        <v>108.86</v>
      </c>
      <c r="C205" s="2">
        <v>108.86</v>
      </c>
      <c r="D205" s="2">
        <v>107.93</v>
      </c>
      <c r="E205" s="2">
        <v>108.48</v>
      </c>
      <c r="F205" s="2">
        <v>104.88</v>
      </c>
      <c r="G205" s="3">
        <v>15494900</v>
      </c>
      <c r="I205">
        <f t="shared" si="3"/>
        <v>9.0339233038347136E-3</v>
      </c>
    </row>
    <row r="206" spans="1:9" ht="18" x14ac:dyDescent="0.2">
      <c r="A206" s="1">
        <v>45790</v>
      </c>
      <c r="B206" s="2">
        <v>109.32</v>
      </c>
      <c r="C206" s="2">
        <v>110.51</v>
      </c>
      <c r="D206" s="2">
        <v>109.02</v>
      </c>
      <c r="E206" s="2">
        <v>109.46</v>
      </c>
      <c r="F206" s="2">
        <v>105.82</v>
      </c>
      <c r="G206" s="3">
        <v>13350800</v>
      </c>
      <c r="I206">
        <f t="shared" si="3"/>
        <v>-2.7407272062853752E-3</v>
      </c>
    </row>
    <row r="207" spans="1:9" ht="18" x14ac:dyDescent="0.2">
      <c r="A207" s="1">
        <v>45789</v>
      </c>
      <c r="B207" s="2">
        <v>110.27</v>
      </c>
      <c r="C207" s="2">
        <v>110.44</v>
      </c>
      <c r="D207" s="2">
        <v>108.32</v>
      </c>
      <c r="E207" s="2">
        <v>109.16</v>
      </c>
      <c r="F207" s="2">
        <v>105.53</v>
      </c>
      <c r="G207" s="3">
        <v>14244600</v>
      </c>
      <c r="I207">
        <f t="shared" si="3"/>
        <v>-1.6947599853426112E-2</v>
      </c>
    </row>
    <row r="208" spans="1:9" ht="18" x14ac:dyDescent="0.2">
      <c r="A208" s="1">
        <v>45786</v>
      </c>
      <c r="B208" s="2">
        <v>107.14</v>
      </c>
      <c r="C208" s="2">
        <v>107.75</v>
      </c>
      <c r="D208" s="2">
        <v>106.38</v>
      </c>
      <c r="E208" s="2">
        <v>107.31</v>
      </c>
      <c r="F208" s="2">
        <v>103.75</v>
      </c>
      <c r="G208" s="3">
        <v>10992100</v>
      </c>
      <c r="I208">
        <f t="shared" si="3"/>
        <v>-1.1555307054328666E-2</v>
      </c>
    </row>
    <row r="209" spans="1:9" ht="18" x14ac:dyDescent="0.2">
      <c r="A209" s="1">
        <v>45785</v>
      </c>
      <c r="B209" s="2">
        <v>105.34</v>
      </c>
      <c r="C209" s="2">
        <v>107.39</v>
      </c>
      <c r="D209" s="2">
        <v>105.34</v>
      </c>
      <c r="E209" s="2">
        <v>106.07</v>
      </c>
      <c r="F209" s="2">
        <v>102.55</v>
      </c>
      <c r="G209" s="3">
        <v>19196500</v>
      </c>
      <c r="I209">
        <f t="shared" si="3"/>
        <v>-1.3764495144715696E-2</v>
      </c>
    </row>
    <row r="210" spans="1:9" ht="18" x14ac:dyDescent="0.2">
      <c r="A210" s="1">
        <v>45784</v>
      </c>
      <c r="B210" s="2">
        <v>104.99</v>
      </c>
      <c r="C210" s="2">
        <v>105.29</v>
      </c>
      <c r="D210" s="2">
        <v>104.07</v>
      </c>
      <c r="E210" s="2">
        <v>104.61</v>
      </c>
      <c r="F210" s="2">
        <v>101.14</v>
      </c>
      <c r="G210" s="3">
        <v>12332200</v>
      </c>
      <c r="I210">
        <f t="shared" si="3"/>
        <v>9.5593155530058615E-4</v>
      </c>
    </row>
    <row r="211" spans="1:9" ht="18" x14ac:dyDescent="0.2">
      <c r="A211" s="1">
        <v>45783</v>
      </c>
      <c r="B211" s="2">
        <v>103.89</v>
      </c>
      <c r="C211" s="2">
        <v>105.98</v>
      </c>
      <c r="D211" s="2">
        <v>103.48</v>
      </c>
      <c r="E211" s="2">
        <v>104.71</v>
      </c>
      <c r="F211" s="2">
        <v>101.23</v>
      </c>
      <c r="G211" s="3">
        <v>16303400</v>
      </c>
      <c r="I211">
        <f t="shared" si="3"/>
        <v>-1.375226816922928E-2</v>
      </c>
    </row>
    <row r="212" spans="1:9" ht="18" x14ac:dyDescent="0.2">
      <c r="A212" s="1">
        <v>45782</v>
      </c>
      <c r="B212" s="2">
        <v>104.65</v>
      </c>
      <c r="C212" s="2">
        <v>104.66</v>
      </c>
      <c r="D212" s="2">
        <v>103.07</v>
      </c>
      <c r="E212" s="2">
        <v>103.27</v>
      </c>
      <c r="F212" s="2">
        <v>99.84</v>
      </c>
      <c r="G212" s="3">
        <v>19624000</v>
      </c>
      <c r="I212">
        <f t="shared" si="3"/>
        <v>2.8469061682966958E-2</v>
      </c>
    </row>
    <row r="213" spans="1:9" ht="18" x14ac:dyDescent="0.2">
      <c r="A213" s="1">
        <v>45779</v>
      </c>
      <c r="B213" s="2">
        <v>107.72</v>
      </c>
      <c r="C213" s="2">
        <v>109</v>
      </c>
      <c r="D213" s="2">
        <v>104.55</v>
      </c>
      <c r="E213" s="2">
        <v>106.21</v>
      </c>
      <c r="F213" s="2">
        <v>102.68</v>
      </c>
      <c r="G213" s="3">
        <v>16581900</v>
      </c>
      <c r="I213">
        <f t="shared" si="3"/>
        <v>-4.0485829959513477E-3</v>
      </c>
    </row>
    <row r="214" spans="1:9" ht="18" x14ac:dyDescent="0.2">
      <c r="A214" s="1">
        <v>45778</v>
      </c>
      <c r="B214" s="2">
        <v>105.1</v>
      </c>
      <c r="C214" s="2">
        <v>106.92</v>
      </c>
      <c r="D214" s="2">
        <v>104.98</v>
      </c>
      <c r="E214" s="2">
        <v>105.78</v>
      </c>
      <c r="F214" s="2">
        <v>102.27</v>
      </c>
      <c r="G214" s="3">
        <v>18610300</v>
      </c>
      <c r="I214">
        <f t="shared" si="3"/>
        <v>-1.4180374361883691E-3</v>
      </c>
    </row>
    <row r="215" spans="1:9" ht="18" x14ac:dyDescent="0.2">
      <c r="A215" s="1">
        <v>45777</v>
      </c>
      <c r="B215" s="2">
        <v>107.42</v>
      </c>
      <c r="C215" s="2">
        <v>107.42</v>
      </c>
      <c r="D215" s="2">
        <v>104.15</v>
      </c>
      <c r="E215" s="2">
        <v>105.63</v>
      </c>
      <c r="F215" s="2">
        <v>102.12</v>
      </c>
      <c r="G215" s="3">
        <v>20379300</v>
      </c>
      <c r="I215">
        <f t="shared" si="3"/>
        <v>2.5844930417495068E-2</v>
      </c>
    </row>
    <row r="216" spans="1:9" ht="18" x14ac:dyDescent="0.2">
      <c r="A216" s="1">
        <v>45776</v>
      </c>
      <c r="B216" s="2">
        <v>107.74</v>
      </c>
      <c r="C216" s="2">
        <v>108.83</v>
      </c>
      <c r="D216" s="2">
        <v>107.52</v>
      </c>
      <c r="E216" s="2">
        <v>108.36</v>
      </c>
      <c r="F216" s="2">
        <v>104.76</v>
      </c>
      <c r="G216" s="3">
        <v>9483100</v>
      </c>
      <c r="I216">
        <f t="shared" si="3"/>
        <v>2.4916943521594319E-3</v>
      </c>
    </row>
    <row r="217" spans="1:9" ht="18" x14ac:dyDescent="0.2">
      <c r="A217" s="1">
        <v>45775</v>
      </c>
      <c r="B217" s="2">
        <v>108.75</v>
      </c>
      <c r="C217" s="2">
        <v>109.25</v>
      </c>
      <c r="D217" s="2">
        <v>107.68</v>
      </c>
      <c r="E217" s="2">
        <v>108.63</v>
      </c>
      <c r="F217" s="2">
        <v>105.02</v>
      </c>
      <c r="G217" s="3">
        <v>13890900</v>
      </c>
      <c r="I217">
        <f t="shared" si="3"/>
        <v>-5.5233360950015901E-4</v>
      </c>
    </row>
    <row r="218" spans="1:9" ht="18" x14ac:dyDescent="0.2">
      <c r="A218" s="1">
        <v>45772</v>
      </c>
      <c r="B218" s="2">
        <v>108.14</v>
      </c>
      <c r="C218" s="2">
        <v>108.76</v>
      </c>
      <c r="D218" s="2">
        <v>107.42</v>
      </c>
      <c r="E218" s="2">
        <v>108.57</v>
      </c>
      <c r="F218" s="2">
        <v>104.96</v>
      </c>
      <c r="G218" s="3">
        <v>11245800</v>
      </c>
      <c r="I218">
        <f t="shared" si="3"/>
        <v>5.5263885051121196E-4</v>
      </c>
    </row>
    <row r="219" spans="1:9" ht="18" x14ac:dyDescent="0.2">
      <c r="A219" s="1">
        <v>45771</v>
      </c>
      <c r="B219" s="2">
        <v>107.97</v>
      </c>
      <c r="C219" s="2">
        <v>108.88</v>
      </c>
      <c r="D219" s="2">
        <v>106.96</v>
      </c>
      <c r="E219" s="2">
        <v>108.63</v>
      </c>
      <c r="F219" s="2">
        <v>105.02</v>
      </c>
      <c r="G219" s="3">
        <v>9849600</v>
      </c>
      <c r="I219">
        <f t="shared" si="3"/>
        <v>-1.1599005799502817E-2</v>
      </c>
    </row>
    <row r="220" spans="1:9" ht="18" x14ac:dyDescent="0.2">
      <c r="A220" s="1">
        <v>45770</v>
      </c>
      <c r="B220" s="2">
        <v>108.81</v>
      </c>
      <c r="C220" s="2">
        <v>109.3</v>
      </c>
      <c r="D220" s="2">
        <v>106.47</v>
      </c>
      <c r="E220" s="2">
        <v>107.37</v>
      </c>
      <c r="F220" s="2">
        <v>103.8</v>
      </c>
      <c r="G220" s="3">
        <v>14235700</v>
      </c>
      <c r="I220">
        <f t="shared" si="3"/>
        <v>8.6616373288627424E-3</v>
      </c>
    </row>
    <row r="221" spans="1:9" ht="18" x14ac:dyDescent="0.2">
      <c r="A221" s="1">
        <v>45769</v>
      </c>
      <c r="B221" s="2">
        <v>106.14</v>
      </c>
      <c r="C221" s="2">
        <v>108.94</v>
      </c>
      <c r="D221" s="2">
        <v>106.14</v>
      </c>
      <c r="E221" s="2">
        <v>108.3</v>
      </c>
      <c r="F221" s="2">
        <v>104.7</v>
      </c>
      <c r="G221" s="3">
        <v>13147000</v>
      </c>
      <c r="I221">
        <f t="shared" si="3"/>
        <v>-2.7239150507848597E-2</v>
      </c>
    </row>
    <row r="222" spans="1:9" ht="18" x14ac:dyDescent="0.2">
      <c r="A222" s="1">
        <v>45768</v>
      </c>
      <c r="B222" s="2">
        <v>105.61</v>
      </c>
      <c r="C222" s="2">
        <v>105.63</v>
      </c>
      <c r="D222" s="2">
        <v>104.12</v>
      </c>
      <c r="E222" s="2">
        <v>105.35</v>
      </c>
      <c r="F222" s="2">
        <v>101.85</v>
      </c>
      <c r="G222" s="3">
        <v>16926500</v>
      </c>
      <c r="I222">
        <f t="shared" si="3"/>
        <v>1.4902705268153843E-2</v>
      </c>
    </row>
    <row r="223" spans="1:9" ht="18" x14ac:dyDescent="0.2">
      <c r="A223" s="1">
        <v>45764</v>
      </c>
      <c r="B223" s="2">
        <v>104.69</v>
      </c>
      <c r="C223" s="2">
        <v>108.55</v>
      </c>
      <c r="D223" s="2">
        <v>104.46</v>
      </c>
      <c r="E223" s="2">
        <v>106.92</v>
      </c>
      <c r="F223" s="2">
        <v>103.37</v>
      </c>
      <c r="G223" s="3">
        <v>17916500</v>
      </c>
      <c r="I223">
        <f t="shared" si="3"/>
        <v>-2.5533108866442236E-2</v>
      </c>
    </row>
    <row r="224" spans="1:9" ht="18" x14ac:dyDescent="0.2">
      <c r="A224" s="1">
        <v>45763</v>
      </c>
      <c r="B224" s="2">
        <v>103.95</v>
      </c>
      <c r="C224" s="2">
        <v>105.59</v>
      </c>
      <c r="D224" s="2">
        <v>103.7</v>
      </c>
      <c r="E224" s="2">
        <v>104.19</v>
      </c>
      <c r="F224" s="2">
        <v>100.73</v>
      </c>
      <c r="G224" s="3">
        <v>13607000</v>
      </c>
      <c r="I224">
        <f t="shared" si="3"/>
        <v>-1.0461656588924114E-2</v>
      </c>
    </row>
    <row r="225" spans="1:9" ht="18" x14ac:dyDescent="0.2">
      <c r="A225" s="1">
        <v>45762</v>
      </c>
      <c r="B225" s="2">
        <v>103.64</v>
      </c>
      <c r="C225" s="2">
        <v>105.41</v>
      </c>
      <c r="D225" s="2">
        <v>103</v>
      </c>
      <c r="E225" s="2">
        <v>103.1</v>
      </c>
      <c r="F225" s="2">
        <v>99.68</v>
      </c>
      <c r="G225" s="3">
        <v>13164900</v>
      </c>
      <c r="I225">
        <f t="shared" si="3"/>
        <v>2.8128031037827962E-3</v>
      </c>
    </row>
    <row r="226" spans="1:9" ht="18" x14ac:dyDescent="0.2">
      <c r="A226" s="1">
        <v>45761</v>
      </c>
      <c r="B226" s="2">
        <v>105.03</v>
      </c>
      <c r="C226" s="2">
        <v>105.09</v>
      </c>
      <c r="D226" s="2">
        <v>102.72</v>
      </c>
      <c r="E226" s="2">
        <v>103.39</v>
      </c>
      <c r="F226" s="2">
        <v>99.96</v>
      </c>
      <c r="G226" s="3">
        <v>18020000</v>
      </c>
      <c r="I226">
        <f t="shared" si="3"/>
        <v>-2.4180288229035691E-3</v>
      </c>
    </row>
    <row r="227" spans="1:9" ht="18" x14ac:dyDescent="0.2">
      <c r="A227" s="1">
        <v>45758</v>
      </c>
      <c r="B227" s="2">
        <v>100.3</v>
      </c>
      <c r="C227" s="2">
        <v>103.93</v>
      </c>
      <c r="D227" s="2">
        <v>98.79</v>
      </c>
      <c r="E227" s="2">
        <v>103.14</v>
      </c>
      <c r="F227" s="2">
        <v>99.71</v>
      </c>
      <c r="G227" s="3">
        <v>22884600</v>
      </c>
      <c r="I227">
        <f t="shared" si="3"/>
        <v>-3.1122745782431585E-2</v>
      </c>
    </row>
    <row r="228" spans="1:9" ht="18" x14ac:dyDescent="0.2">
      <c r="A228" s="1">
        <v>45757</v>
      </c>
      <c r="B228" s="2">
        <v>103.71</v>
      </c>
      <c r="C228" s="2">
        <v>103.78</v>
      </c>
      <c r="D228" s="2">
        <v>97.8</v>
      </c>
      <c r="E228" s="2">
        <v>99.93</v>
      </c>
      <c r="F228" s="2">
        <v>96.61</v>
      </c>
      <c r="G228" s="3">
        <v>33999300</v>
      </c>
      <c r="I228">
        <f t="shared" si="3"/>
        <v>5.8741118783148104E-2</v>
      </c>
    </row>
    <row r="229" spans="1:9" ht="18" x14ac:dyDescent="0.2">
      <c r="A229" s="1">
        <v>45756</v>
      </c>
      <c r="B229" s="2">
        <v>99.37</v>
      </c>
      <c r="C229" s="2">
        <v>106.58</v>
      </c>
      <c r="D229" s="2">
        <v>98.13</v>
      </c>
      <c r="E229" s="2">
        <v>105.8</v>
      </c>
      <c r="F229" s="2">
        <v>102.29</v>
      </c>
      <c r="G229" s="3">
        <v>30063300</v>
      </c>
      <c r="I229">
        <f t="shared" si="3"/>
        <v>-4.7542533081285455E-2</v>
      </c>
    </row>
    <row r="230" spans="1:9" ht="18" x14ac:dyDescent="0.2">
      <c r="A230" s="1">
        <v>45755</v>
      </c>
      <c r="B230" s="2">
        <v>105.46</v>
      </c>
      <c r="C230" s="2">
        <v>105.6</v>
      </c>
      <c r="D230" s="2">
        <v>99.01</v>
      </c>
      <c r="E230" s="2">
        <v>100.77</v>
      </c>
      <c r="F230" s="2">
        <v>97.42</v>
      </c>
      <c r="G230" s="3">
        <v>27147800</v>
      </c>
      <c r="I230">
        <f t="shared" si="3"/>
        <v>2.1534186761933131E-2</v>
      </c>
    </row>
    <row r="231" spans="1:9" ht="18" x14ac:dyDescent="0.2">
      <c r="A231" s="1">
        <v>45754</v>
      </c>
      <c r="B231" s="2">
        <v>100.39</v>
      </c>
      <c r="C231" s="2">
        <v>105.8</v>
      </c>
      <c r="D231" s="2">
        <v>98.46</v>
      </c>
      <c r="E231" s="2">
        <v>102.94</v>
      </c>
      <c r="F231" s="2">
        <v>99.52</v>
      </c>
      <c r="G231" s="3">
        <v>35068500</v>
      </c>
      <c r="I231">
        <f t="shared" si="3"/>
        <v>1.3600155430347831E-2</v>
      </c>
    </row>
    <row r="232" spans="1:9" ht="18" x14ac:dyDescent="0.2">
      <c r="A232" s="1">
        <v>45751</v>
      </c>
      <c r="B232" s="2">
        <v>109.87</v>
      </c>
      <c r="C232" s="2">
        <v>110.83</v>
      </c>
      <c r="D232" s="2">
        <v>103.83</v>
      </c>
      <c r="E232" s="2">
        <v>104.34</v>
      </c>
      <c r="F232" s="2">
        <v>100.87</v>
      </c>
      <c r="G232" s="3">
        <v>30841300</v>
      </c>
      <c r="I232">
        <f t="shared" si="3"/>
        <v>7.7534981790300966E-2</v>
      </c>
    </row>
    <row r="233" spans="1:9" ht="18" x14ac:dyDescent="0.2">
      <c r="A233" s="1">
        <v>45750</v>
      </c>
      <c r="B233" s="2">
        <v>114.37</v>
      </c>
      <c r="C233" s="2">
        <v>115.45</v>
      </c>
      <c r="D233" s="2">
        <v>112.23</v>
      </c>
      <c r="E233" s="2">
        <v>112.43</v>
      </c>
      <c r="F233" s="2">
        <v>108.7</v>
      </c>
      <c r="G233" s="3">
        <v>21204600</v>
      </c>
      <c r="I233">
        <f t="shared" si="3"/>
        <v>5.5501200747131503E-2</v>
      </c>
    </row>
    <row r="234" spans="1:9" ht="18" x14ac:dyDescent="0.2">
      <c r="A234" s="1">
        <v>45749</v>
      </c>
      <c r="B234" s="2">
        <v>118.39</v>
      </c>
      <c r="C234" s="2">
        <v>118.84</v>
      </c>
      <c r="D234" s="2">
        <v>117.66</v>
      </c>
      <c r="E234" s="2">
        <v>118.67</v>
      </c>
      <c r="F234" s="2">
        <v>114.73</v>
      </c>
      <c r="G234" s="3">
        <v>12614600</v>
      </c>
      <c r="I234">
        <f t="shared" si="3"/>
        <v>3.117889946911642E-3</v>
      </c>
    </row>
    <row r="235" spans="1:9" ht="18" x14ac:dyDescent="0.2">
      <c r="A235" s="1">
        <v>45748</v>
      </c>
      <c r="B235" s="2">
        <v>119.22</v>
      </c>
      <c r="C235" s="2">
        <v>119.28</v>
      </c>
      <c r="D235" s="2">
        <v>117.93</v>
      </c>
      <c r="E235" s="2">
        <v>119.04</v>
      </c>
      <c r="F235" s="2">
        <v>115.09</v>
      </c>
      <c r="G235" s="3">
        <v>12425400</v>
      </c>
      <c r="I235">
        <f t="shared" si="3"/>
        <v>-9.240591397849414E-4</v>
      </c>
    </row>
    <row r="236" spans="1:9" ht="18" x14ac:dyDescent="0.2">
      <c r="A236" s="1">
        <v>45747</v>
      </c>
      <c r="B236" s="2">
        <v>117.79</v>
      </c>
      <c r="C236" s="2">
        <v>119.91</v>
      </c>
      <c r="D236" s="2">
        <v>117.79</v>
      </c>
      <c r="E236" s="2">
        <v>118.93</v>
      </c>
      <c r="F236" s="2">
        <v>114.98</v>
      </c>
      <c r="G236" s="3">
        <v>21652300</v>
      </c>
      <c r="I236">
        <f t="shared" si="3"/>
        <v>-1.0089968889262614E-2</v>
      </c>
    </row>
    <row r="237" spans="1:9" ht="18" x14ac:dyDescent="0.2">
      <c r="A237" s="1">
        <v>45744</v>
      </c>
      <c r="B237" s="2">
        <v>118.1</v>
      </c>
      <c r="C237" s="2">
        <v>118.46</v>
      </c>
      <c r="D237" s="2">
        <v>117.24</v>
      </c>
      <c r="E237" s="2">
        <v>117.73</v>
      </c>
      <c r="F237" s="2">
        <v>113.82</v>
      </c>
      <c r="G237" s="3">
        <v>10233400</v>
      </c>
      <c r="I237">
        <f t="shared" si="3"/>
        <v>1.3590418754777591E-3</v>
      </c>
    </row>
    <row r="238" spans="1:9" ht="18" x14ac:dyDescent="0.2">
      <c r="A238" s="1">
        <v>45743</v>
      </c>
      <c r="B238" s="2">
        <v>118.1</v>
      </c>
      <c r="C238" s="2">
        <v>119.07</v>
      </c>
      <c r="D238" s="2">
        <v>117.26</v>
      </c>
      <c r="E238" s="2">
        <v>117.89</v>
      </c>
      <c r="F238" s="2">
        <v>113.97</v>
      </c>
      <c r="G238" s="3">
        <v>12740800</v>
      </c>
      <c r="I238">
        <f t="shared" si="3"/>
        <v>3.223343795063156E-3</v>
      </c>
    </row>
    <row r="239" spans="1:9" ht="18" x14ac:dyDescent="0.2">
      <c r="A239" s="1">
        <v>45742</v>
      </c>
      <c r="B239" s="2">
        <v>117.68</v>
      </c>
      <c r="C239" s="2">
        <v>119.18</v>
      </c>
      <c r="D239" s="2">
        <v>117.68</v>
      </c>
      <c r="E239" s="2">
        <v>118.27</v>
      </c>
      <c r="F239" s="2">
        <v>114.34</v>
      </c>
      <c r="G239" s="3">
        <v>14110800</v>
      </c>
      <c r="I239">
        <f t="shared" si="3"/>
        <v>-1.4204785659930606E-2</v>
      </c>
    </row>
    <row r="240" spans="1:9" ht="18" x14ac:dyDescent="0.2">
      <c r="A240" s="1">
        <v>45741</v>
      </c>
      <c r="B240" s="2">
        <v>116.43</v>
      </c>
      <c r="C240" s="2">
        <v>117.64</v>
      </c>
      <c r="D240" s="2">
        <v>115.96</v>
      </c>
      <c r="E240" s="2">
        <v>116.59</v>
      </c>
      <c r="F240" s="2">
        <v>112.72</v>
      </c>
      <c r="G240" s="3">
        <v>12081800</v>
      </c>
      <c r="I240">
        <f t="shared" si="3"/>
        <v>-6.7758812934214444E-3</v>
      </c>
    </row>
    <row r="241" spans="1:9" ht="18" x14ac:dyDescent="0.2">
      <c r="A241" s="1">
        <v>45740</v>
      </c>
      <c r="B241" s="2">
        <v>115.68</v>
      </c>
      <c r="C241" s="2">
        <v>116.91</v>
      </c>
      <c r="D241" s="2">
        <v>115.58</v>
      </c>
      <c r="E241" s="2">
        <v>115.8</v>
      </c>
      <c r="F241" s="2">
        <v>111.95</v>
      </c>
      <c r="G241" s="3">
        <v>14207500</v>
      </c>
      <c r="I241">
        <f t="shared" si="3"/>
        <v>-2.5906735751295091E-3</v>
      </c>
    </row>
    <row r="242" spans="1:9" ht="18" x14ac:dyDescent="0.2">
      <c r="A242" s="1">
        <v>45737</v>
      </c>
      <c r="B242" s="2">
        <v>115.5</v>
      </c>
      <c r="C242" s="2">
        <v>115.99</v>
      </c>
      <c r="D242" s="2">
        <v>114.35</v>
      </c>
      <c r="E242" s="2">
        <v>115.5</v>
      </c>
      <c r="F242" s="2">
        <v>111.66</v>
      </c>
      <c r="G242" s="3">
        <v>41102800</v>
      </c>
      <c r="I242">
        <f t="shared" si="3"/>
        <v>3.4632034632035122E-3</v>
      </c>
    </row>
    <row r="243" spans="1:9" ht="18" x14ac:dyDescent="0.2">
      <c r="A243" s="1">
        <v>45736</v>
      </c>
      <c r="B243" s="2">
        <v>114.72</v>
      </c>
      <c r="C243" s="2">
        <v>116.47</v>
      </c>
      <c r="D243" s="2">
        <v>114.21</v>
      </c>
      <c r="E243" s="2">
        <v>115.9</v>
      </c>
      <c r="F243" s="2">
        <v>112.05</v>
      </c>
      <c r="G243" s="3">
        <v>16230800</v>
      </c>
      <c r="I243">
        <f t="shared" si="3"/>
        <v>-4.2277825711821313E-3</v>
      </c>
    </row>
    <row r="244" spans="1:9" ht="18" x14ac:dyDescent="0.2">
      <c r="A244" s="1">
        <v>45735</v>
      </c>
      <c r="B244" s="2">
        <v>114.2</v>
      </c>
      <c r="C244" s="2">
        <v>115.82</v>
      </c>
      <c r="D244" s="2">
        <v>113.83</v>
      </c>
      <c r="E244" s="2">
        <v>115.41</v>
      </c>
      <c r="F244" s="2">
        <v>111.58</v>
      </c>
      <c r="G244" s="3">
        <v>17315000</v>
      </c>
      <c r="I244">
        <f t="shared" si="3"/>
        <v>-1.5336625942292662E-2</v>
      </c>
    </row>
    <row r="245" spans="1:9" ht="18" x14ac:dyDescent="0.2">
      <c r="A245" s="1">
        <v>45734</v>
      </c>
      <c r="B245" s="2">
        <v>114.09</v>
      </c>
      <c r="C245" s="2">
        <v>114.54</v>
      </c>
      <c r="D245" s="2">
        <v>112.57</v>
      </c>
      <c r="E245" s="2">
        <v>113.64</v>
      </c>
      <c r="F245" s="2">
        <v>109.87</v>
      </c>
      <c r="G245" s="3">
        <v>15998700</v>
      </c>
      <c r="I245">
        <f t="shared" si="3"/>
        <v>1.0559662090813494E-3</v>
      </c>
    </row>
    <row r="246" spans="1:9" ht="18" x14ac:dyDescent="0.2">
      <c r="A246" s="1">
        <v>45733</v>
      </c>
      <c r="B246" s="2">
        <v>111.8</v>
      </c>
      <c r="C246" s="2">
        <v>114.5</v>
      </c>
      <c r="D246" s="2">
        <v>111.73</v>
      </c>
      <c r="E246" s="2">
        <v>113.76</v>
      </c>
      <c r="F246" s="2">
        <v>109.98</v>
      </c>
      <c r="G246" s="3">
        <v>19908800</v>
      </c>
      <c r="I246">
        <f t="shared" si="3"/>
        <v>-1.635021097046413E-2</v>
      </c>
    </row>
    <row r="247" spans="1:9" ht="18" x14ac:dyDescent="0.2">
      <c r="A247" s="1">
        <v>45730</v>
      </c>
      <c r="B247" s="2">
        <v>108.94</v>
      </c>
      <c r="C247" s="2">
        <v>112.18</v>
      </c>
      <c r="D247" s="2">
        <v>108.31</v>
      </c>
      <c r="E247" s="2">
        <v>111.9</v>
      </c>
      <c r="F247" s="2">
        <v>108.18</v>
      </c>
      <c r="G247" s="3">
        <v>15890100</v>
      </c>
      <c r="I247">
        <f t="shared" si="3"/>
        <v>-2.8865058087578228E-2</v>
      </c>
    </row>
    <row r="248" spans="1:9" ht="18" x14ac:dyDescent="0.2">
      <c r="A248" s="1">
        <v>45729</v>
      </c>
      <c r="B248" s="2">
        <v>108.33</v>
      </c>
      <c r="C248" s="2">
        <v>110.82</v>
      </c>
      <c r="D248" s="2">
        <v>107.63</v>
      </c>
      <c r="E248" s="2">
        <v>108.67</v>
      </c>
      <c r="F248" s="2">
        <v>105.06</v>
      </c>
      <c r="G248" s="3">
        <v>17767800</v>
      </c>
      <c r="I248">
        <f t="shared" si="3"/>
        <v>4.2329989877610543E-3</v>
      </c>
    </row>
    <row r="249" spans="1:9" ht="18" x14ac:dyDescent="0.2">
      <c r="A249" s="1">
        <v>45728</v>
      </c>
      <c r="B249" s="2">
        <v>109.05</v>
      </c>
      <c r="C249" s="2">
        <v>110.13</v>
      </c>
      <c r="D249" s="2">
        <v>108.42</v>
      </c>
      <c r="E249" s="2">
        <v>109.13</v>
      </c>
      <c r="F249" s="2">
        <v>105.5</v>
      </c>
      <c r="G249" s="3">
        <v>14051500</v>
      </c>
      <c r="I249">
        <f t="shared" si="3"/>
        <v>2.7490149363145914E-4</v>
      </c>
    </row>
    <row r="250" spans="1:9" ht="18" x14ac:dyDescent="0.2">
      <c r="A250" s="1">
        <v>45727</v>
      </c>
      <c r="B250" s="2">
        <v>111.92</v>
      </c>
      <c r="C250" s="2">
        <v>112.1</v>
      </c>
      <c r="D250" s="2">
        <v>108.79</v>
      </c>
      <c r="E250" s="2">
        <v>109.16</v>
      </c>
      <c r="F250" s="2">
        <v>105.53</v>
      </c>
      <c r="G250" s="3">
        <v>19904700</v>
      </c>
      <c r="I250">
        <f t="shared" si="3"/>
        <v>2.4184683034078423E-2</v>
      </c>
    </row>
    <row r="251" spans="1:9" ht="18" x14ac:dyDescent="0.2">
      <c r="A251" s="1">
        <v>45726</v>
      </c>
      <c r="B251" s="2">
        <v>109.28</v>
      </c>
      <c r="C251" s="2">
        <v>112.57</v>
      </c>
      <c r="D251" s="2">
        <v>109.08</v>
      </c>
      <c r="E251" s="2">
        <v>111.8</v>
      </c>
      <c r="F251" s="2">
        <v>108.09</v>
      </c>
      <c r="G251" s="3">
        <v>22749100</v>
      </c>
      <c r="I251">
        <f t="shared" si="3"/>
        <v>-2.4865831842576038E-2</v>
      </c>
    </row>
    <row r="252" spans="1:9" ht="18" x14ac:dyDescent="0.2">
      <c r="A252" s="1">
        <v>45723</v>
      </c>
      <c r="B252" s="2">
        <v>108.41</v>
      </c>
      <c r="C252" s="2">
        <v>110.4</v>
      </c>
      <c r="D252" s="2">
        <v>108.3</v>
      </c>
      <c r="E252" s="2">
        <v>109.02</v>
      </c>
      <c r="F252" s="2">
        <v>105.4</v>
      </c>
      <c r="G252" s="3">
        <v>19625000</v>
      </c>
      <c r="I252">
        <f t="shared" si="3"/>
        <v>-1.2841680425609903E-2</v>
      </c>
    </row>
    <row r="253" spans="1:9" ht="18" x14ac:dyDescent="0.2">
      <c r="A253" s="1">
        <v>45722</v>
      </c>
      <c r="B253" s="2">
        <v>105.43</v>
      </c>
      <c r="C253" s="2">
        <v>108.11</v>
      </c>
      <c r="D253" s="2">
        <v>104.36</v>
      </c>
      <c r="E253" s="2">
        <v>107.62</v>
      </c>
      <c r="F253" s="2">
        <v>104.05</v>
      </c>
      <c r="G253" s="3">
        <v>17150200</v>
      </c>
      <c r="I253">
        <f t="shared" si="3"/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2191-10D3-354C-923D-8D0A01FFDFC0}">
  <dimension ref="A1:K253"/>
  <sheetViews>
    <sheetView workbookViewId="0">
      <selection activeCell="F2" sqref="F2:F253"/>
    </sheetView>
  </sheetViews>
  <sheetFormatPr baseColWidth="10" defaultRowHeight="16" x14ac:dyDescent="0.2"/>
  <cols>
    <col min="1" max="1" width="12.6640625" bestFit="1" customWidth="1"/>
    <col min="2" max="6" width="11" bestFit="1" customWidth="1"/>
    <col min="7" max="7" width="13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</row>
    <row r="2" spans="1:11" ht="18" x14ac:dyDescent="0.2">
      <c r="A2" s="1">
        <v>46087</v>
      </c>
      <c r="B2" s="2">
        <v>190.88</v>
      </c>
      <c r="C2" s="2">
        <v>192.4</v>
      </c>
      <c r="D2" s="2">
        <v>188.12</v>
      </c>
      <c r="E2" s="2">
        <v>189.41</v>
      </c>
      <c r="F2" s="2">
        <v>189.41</v>
      </c>
      <c r="G2" s="3">
        <v>6869394</v>
      </c>
      <c r="I2">
        <f>(E3-E2)/E2</f>
        <v>2.5869806240431292E-3</v>
      </c>
      <c r="J2">
        <f>AVERAGE(E2, E246)</f>
        <v>174.065</v>
      </c>
      <c r="K2">
        <f>_xlfn.STDEV.S(E2, E246)</f>
        <v>21.701107114615141</v>
      </c>
    </row>
    <row r="3" spans="1:11" ht="18" x14ac:dyDescent="0.2">
      <c r="A3" s="1">
        <v>46086</v>
      </c>
      <c r="B3" s="2">
        <v>186.6</v>
      </c>
      <c r="C3" s="2">
        <v>189.97</v>
      </c>
      <c r="D3" s="2">
        <v>186.49</v>
      </c>
      <c r="E3" s="2">
        <v>189.9</v>
      </c>
      <c r="F3" s="2">
        <v>189.9</v>
      </c>
      <c r="G3" s="3">
        <v>13550700</v>
      </c>
      <c r="I3">
        <f t="shared" ref="I3:I65" si="0">(E4-E3)/E3</f>
        <v>-2.0379146919431303E-2</v>
      </c>
    </row>
    <row r="4" spans="1:11" ht="18" x14ac:dyDescent="0.2">
      <c r="A4" s="1">
        <v>46085</v>
      </c>
      <c r="B4" s="2">
        <v>187.45</v>
      </c>
      <c r="C4" s="2">
        <v>188.46</v>
      </c>
      <c r="D4" s="2">
        <v>184.15</v>
      </c>
      <c r="E4" s="2">
        <v>186.03</v>
      </c>
      <c r="F4" s="2">
        <v>186.03</v>
      </c>
      <c r="G4" s="3">
        <v>11054400</v>
      </c>
      <c r="I4">
        <f t="shared" si="0"/>
        <v>1.4728807181637419E-2</v>
      </c>
    </row>
    <row r="5" spans="1:11" ht="18" x14ac:dyDescent="0.2">
      <c r="A5" s="1">
        <v>46084</v>
      </c>
      <c r="B5" s="2">
        <v>190.52</v>
      </c>
      <c r="C5" s="2">
        <v>191.56</v>
      </c>
      <c r="D5" s="2">
        <v>187.42</v>
      </c>
      <c r="E5" s="2">
        <v>188.77</v>
      </c>
      <c r="F5" s="2">
        <v>188.77</v>
      </c>
      <c r="G5" s="3">
        <v>14004200</v>
      </c>
      <c r="I5">
        <f t="shared" si="0"/>
        <v>4.3968850982676489E-3</v>
      </c>
    </row>
    <row r="6" spans="1:11" ht="18" x14ac:dyDescent="0.2">
      <c r="A6" s="1">
        <v>46083</v>
      </c>
      <c r="B6" s="2">
        <v>190.33</v>
      </c>
      <c r="C6" s="2">
        <v>191.44</v>
      </c>
      <c r="D6" s="2">
        <v>187.22</v>
      </c>
      <c r="E6" s="2">
        <v>189.6</v>
      </c>
      <c r="F6" s="2">
        <v>189.6</v>
      </c>
      <c r="G6" s="3">
        <v>15809100</v>
      </c>
      <c r="I6">
        <f t="shared" si="0"/>
        <v>-1.4978902953586516E-2</v>
      </c>
    </row>
    <row r="7" spans="1:11" ht="18" x14ac:dyDescent="0.2">
      <c r="A7" s="1">
        <v>46080</v>
      </c>
      <c r="B7" s="2">
        <v>186</v>
      </c>
      <c r="C7" s="2">
        <v>187.55</v>
      </c>
      <c r="D7" s="2">
        <v>183.77</v>
      </c>
      <c r="E7" s="2">
        <v>186.76</v>
      </c>
      <c r="F7" s="2">
        <v>186.76</v>
      </c>
      <c r="G7" s="3">
        <v>12035500</v>
      </c>
      <c r="I7">
        <f t="shared" si="0"/>
        <v>-1.3921610623259769E-2</v>
      </c>
    </row>
    <row r="8" spans="1:11" ht="18" x14ac:dyDescent="0.2">
      <c r="A8" s="1">
        <v>46079</v>
      </c>
      <c r="B8" s="2">
        <v>182.9</v>
      </c>
      <c r="C8" s="2">
        <v>186.26</v>
      </c>
      <c r="D8" s="2">
        <v>181.76</v>
      </c>
      <c r="E8" s="2">
        <v>184.16</v>
      </c>
      <c r="F8" s="2">
        <v>184.16</v>
      </c>
      <c r="G8" s="3">
        <v>7133800</v>
      </c>
      <c r="I8">
        <f t="shared" si="0"/>
        <v>3.2580364900088114E-4</v>
      </c>
    </row>
    <row r="9" spans="1:11" ht="18" x14ac:dyDescent="0.2">
      <c r="A9" s="1">
        <v>46078</v>
      </c>
      <c r="B9" s="2">
        <v>185.84</v>
      </c>
      <c r="C9" s="2">
        <v>185.98</v>
      </c>
      <c r="D9" s="2">
        <v>182.51</v>
      </c>
      <c r="E9" s="2">
        <v>184.22</v>
      </c>
      <c r="F9" s="2">
        <v>184.22</v>
      </c>
      <c r="G9" s="3">
        <v>9440700</v>
      </c>
      <c r="I9">
        <f t="shared" si="0"/>
        <v>6.079687330365892E-3</v>
      </c>
    </row>
    <row r="10" spans="1:11" ht="18" x14ac:dyDescent="0.2">
      <c r="A10" s="1">
        <v>46077</v>
      </c>
      <c r="B10" s="2">
        <v>185.29</v>
      </c>
      <c r="C10" s="2">
        <v>185.96</v>
      </c>
      <c r="D10" s="2">
        <v>183.85</v>
      </c>
      <c r="E10" s="2">
        <v>185.34</v>
      </c>
      <c r="F10" s="2">
        <v>185.34</v>
      </c>
      <c r="G10" s="3">
        <v>7451800</v>
      </c>
      <c r="I10">
        <f t="shared" si="0"/>
        <v>-2.3200604294809908E-3</v>
      </c>
    </row>
    <row r="11" spans="1:11" ht="18" x14ac:dyDescent="0.2">
      <c r="A11" s="1">
        <v>46076</v>
      </c>
      <c r="B11" s="2">
        <v>184.67</v>
      </c>
      <c r="C11" s="2">
        <v>186.63</v>
      </c>
      <c r="D11" s="2">
        <v>184.05</v>
      </c>
      <c r="E11" s="2">
        <v>184.91</v>
      </c>
      <c r="F11" s="2">
        <v>184.91</v>
      </c>
      <c r="G11" s="3">
        <v>7047200</v>
      </c>
      <c r="I11">
        <f t="shared" si="0"/>
        <v>-5.2998756151640784E-3</v>
      </c>
    </row>
    <row r="12" spans="1:11" ht="18" x14ac:dyDescent="0.2">
      <c r="A12" s="1">
        <v>46073</v>
      </c>
      <c r="B12" s="2">
        <v>184.59</v>
      </c>
      <c r="C12" s="2">
        <v>184.89</v>
      </c>
      <c r="D12" s="2">
        <v>182.32</v>
      </c>
      <c r="E12" s="2">
        <v>183.93</v>
      </c>
      <c r="F12" s="2">
        <v>183.93</v>
      </c>
      <c r="G12" s="3">
        <v>9566200</v>
      </c>
      <c r="I12">
        <f t="shared" si="0"/>
        <v>4.6213233295275069E-3</v>
      </c>
    </row>
    <row r="13" spans="1:11" ht="18" x14ac:dyDescent="0.2">
      <c r="A13" s="1">
        <v>46072</v>
      </c>
      <c r="B13" s="2">
        <v>185.29</v>
      </c>
      <c r="C13" s="2">
        <v>187.9</v>
      </c>
      <c r="D13" s="2">
        <v>184.74</v>
      </c>
      <c r="E13" s="2">
        <v>184.78</v>
      </c>
      <c r="F13" s="2">
        <v>184.78</v>
      </c>
      <c r="G13" s="3">
        <v>10773300</v>
      </c>
      <c r="I13">
        <f t="shared" si="0"/>
        <v>-4.9247754085939852E-3</v>
      </c>
    </row>
    <row r="14" spans="1:11" ht="18" x14ac:dyDescent="0.2">
      <c r="A14" s="1">
        <v>46071</v>
      </c>
      <c r="B14" s="2">
        <v>183.23</v>
      </c>
      <c r="C14" s="2">
        <v>183.92</v>
      </c>
      <c r="D14" s="2">
        <v>181.98</v>
      </c>
      <c r="E14" s="2">
        <v>183.87</v>
      </c>
      <c r="F14" s="2">
        <v>183.87</v>
      </c>
      <c r="G14" s="3">
        <v>10313400</v>
      </c>
      <c r="I14">
        <f>(E15-E14)/E14</f>
        <v>-1.8056235383694965E-2</v>
      </c>
    </row>
    <row r="15" spans="1:11" ht="18" x14ac:dyDescent="0.2">
      <c r="A15" s="1">
        <v>46070</v>
      </c>
      <c r="B15" s="2">
        <v>183.3</v>
      </c>
      <c r="C15" s="2">
        <v>183.8</v>
      </c>
      <c r="D15" s="2">
        <v>178.74</v>
      </c>
      <c r="E15" s="2">
        <v>180.55</v>
      </c>
      <c r="F15" s="2">
        <v>180.55</v>
      </c>
      <c r="G15" s="3">
        <v>9849000</v>
      </c>
      <c r="I15">
        <f t="shared" si="0"/>
        <v>1.7668235945721394E-2</v>
      </c>
    </row>
    <row r="16" spans="1:11" ht="18" x14ac:dyDescent="0.2">
      <c r="A16" s="1">
        <v>46066</v>
      </c>
      <c r="B16" s="2">
        <v>182.54</v>
      </c>
      <c r="C16" s="2">
        <v>184.84</v>
      </c>
      <c r="D16" s="2">
        <v>181.72</v>
      </c>
      <c r="E16" s="2">
        <v>183.74</v>
      </c>
      <c r="F16" s="2">
        <v>181.96</v>
      </c>
      <c r="G16" s="3">
        <v>9034700</v>
      </c>
      <c r="I16">
        <f t="shared" si="0"/>
        <v>-7.292913900076213E-3</v>
      </c>
    </row>
    <row r="17" spans="1:9" ht="18" x14ac:dyDescent="0.2">
      <c r="A17" s="1">
        <v>46065</v>
      </c>
      <c r="B17" s="2">
        <v>185.8</v>
      </c>
      <c r="C17" s="2">
        <v>185.8</v>
      </c>
      <c r="D17" s="2">
        <v>182.09</v>
      </c>
      <c r="E17" s="2">
        <v>182.4</v>
      </c>
      <c r="F17" s="2">
        <v>180.63</v>
      </c>
      <c r="G17" s="3">
        <v>9673700</v>
      </c>
      <c r="I17">
        <f t="shared" si="0"/>
        <v>1.874999999999993E-2</v>
      </c>
    </row>
    <row r="18" spans="1:9" ht="18" x14ac:dyDescent="0.2">
      <c r="A18" s="1">
        <v>46064</v>
      </c>
      <c r="B18" s="2">
        <v>183.94</v>
      </c>
      <c r="C18" s="2">
        <v>186.52</v>
      </c>
      <c r="D18" s="2">
        <v>183.55</v>
      </c>
      <c r="E18" s="2">
        <v>185.82</v>
      </c>
      <c r="F18" s="2">
        <v>184.02</v>
      </c>
      <c r="G18" s="3">
        <v>10502100</v>
      </c>
      <c r="I18">
        <f t="shared" si="0"/>
        <v>-1.9158325261005287E-2</v>
      </c>
    </row>
    <row r="19" spans="1:9" ht="18" x14ac:dyDescent="0.2">
      <c r="A19" s="1">
        <v>46063</v>
      </c>
      <c r="B19" s="2">
        <v>182.73</v>
      </c>
      <c r="C19" s="2">
        <v>182.95</v>
      </c>
      <c r="D19" s="2">
        <v>180.86</v>
      </c>
      <c r="E19" s="2">
        <v>182.26</v>
      </c>
      <c r="F19" s="2">
        <v>180.49</v>
      </c>
      <c r="G19" s="3">
        <v>7458200</v>
      </c>
      <c r="I19">
        <f t="shared" si="0"/>
        <v>1.8654669153956075E-3</v>
      </c>
    </row>
    <row r="20" spans="1:9" ht="18" x14ac:dyDescent="0.2">
      <c r="A20" s="1">
        <v>46062</v>
      </c>
      <c r="B20" s="2">
        <v>181.01</v>
      </c>
      <c r="C20" s="2">
        <v>182.82</v>
      </c>
      <c r="D20" s="2">
        <v>179.95</v>
      </c>
      <c r="E20" s="2">
        <v>182.6</v>
      </c>
      <c r="F20" s="2">
        <v>180.83</v>
      </c>
      <c r="G20" s="3">
        <v>12021300</v>
      </c>
      <c r="I20">
        <f t="shared" si="0"/>
        <v>-9.5290251916756892E-3</v>
      </c>
    </row>
    <row r="21" spans="1:9" ht="18" x14ac:dyDescent="0.2">
      <c r="A21" s="1">
        <v>46059</v>
      </c>
      <c r="B21" s="2">
        <v>180.3</v>
      </c>
      <c r="C21" s="2">
        <v>182.1</v>
      </c>
      <c r="D21" s="2">
        <v>179.51</v>
      </c>
      <c r="E21" s="2">
        <v>180.86</v>
      </c>
      <c r="F21" s="2">
        <v>179.11</v>
      </c>
      <c r="G21" s="3">
        <v>9901800</v>
      </c>
      <c r="I21">
        <f t="shared" si="0"/>
        <v>-9.0124958531462105E-3</v>
      </c>
    </row>
    <row r="22" spans="1:9" ht="18" x14ac:dyDescent="0.2">
      <c r="A22" s="1">
        <v>46058</v>
      </c>
      <c r="B22" s="2">
        <v>179.64</v>
      </c>
      <c r="C22" s="2">
        <v>180.46</v>
      </c>
      <c r="D22" s="2">
        <v>177.41</v>
      </c>
      <c r="E22" s="2">
        <v>179.23</v>
      </c>
      <c r="F22" s="2">
        <v>177.49</v>
      </c>
      <c r="G22" s="3">
        <v>10474100</v>
      </c>
      <c r="I22">
        <f t="shared" si="0"/>
        <v>1.1158846175305473E-2</v>
      </c>
    </row>
    <row r="23" spans="1:9" ht="18" x14ac:dyDescent="0.2">
      <c r="A23" s="1">
        <v>46057</v>
      </c>
      <c r="B23" s="2">
        <v>178.88</v>
      </c>
      <c r="C23" s="2">
        <v>182.59</v>
      </c>
      <c r="D23" s="2">
        <v>178.88</v>
      </c>
      <c r="E23" s="2">
        <v>181.23</v>
      </c>
      <c r="F23" s="2">
        <v>179.47</v>
      </c>
      <c r="G23" s="3">
        <v>16170500</v>
      </c>
      <c r="I23">
        <f t="shared" si="0"/>
        <v>-1.7601942283286421E-2</v>
      </c>
    </row>
    <row r="24" spans="1:9" ht="18" x14ac:dyDescent="0.2">
      <c r="A24" s="1">
        <v>46056</v>
      </c>
      <c r="B24" s="2">
        <v>173.88</v>
      </c>
      <c r="C24" s="2">
        <v>178.82</v>
      </c>
      <c r="D24" s="2">
        <v>173.75</v>
      </c>
      <c r="E24" s="2">
        <v>178.04</v>
      </c>
      <c r="F24" s="2">
        <v>176.32</v>
      </c>
      <c r="G24" s="3">
        <v>18425400</v>
      </c>
      <c r="I24">
        <f t="shared" si="0"/>
        <v>-2.2523028532913901E-2</v>
      </c>
    </row>
    <row r="25" spans="1:9" ht="18" x14ac:dyDescent="0.2">
      <c r="A25" s="1">
        <v>46055</v>
      </c>
      <c r="B25" s="2">
        <v>173.44</v>
      </c>
      <c r="C25" s="2">
        <v>176.27</v>
      </c>
      <c r="D25" s="2">
        <v>172.65</v>
      </c>
      <c r="E25" s="2">
        <v>174.03</v>
      </c>
      <c r="F25" s="2">
        <v>172.34</v>
      </c>
      <c r="G25" s="3">
        <v>14235300</v>
      </c>
      <c r="I25">
        <f t="shared" si="0"/>
        <v>1.6491409527093055E-2</v>
      </c>
    </row>
    <row r="26" spans="1:9" ht="18" x14ac:dyDescent="0.2">
      <c r="A26" s="1">
        <v>46052</v>
      </c>
      <c r="B26" s="2">
        <v>172.62</v>
      </c>
      <c r="C26" s="2">
        <v>177.3</v>
      </c>
      <c r="D26" s="2">
        <v>171.27</v>
      </c>
      <c r="E26" s="2">
        <v>176.9</v>
      </c>
      <c r="F26" s="2">
        <v>175.19</v>
      </c>
      <c r="G26" s="3">
        <v>22946600</v>
      </c>
      <c r="I26">
        <f t="shared" si="0"/>
        <v>-3.2278123233465281E-2</v>
      </c>
    </row>
    <row r="27" spans="1:9" ht="18" x14ac:dyDescent="0.2">
      <c r="A27" s="1">
        <v>46051</v>
      </c>
      <c r="B27" s="2">
        <v>172.65</v>
      </c>
      <c r="C27" s="2">
        <v>174.92</v>
      </c>
      <c r="D27" s="2">
        <v>171.04</v>
      </c>
      <c r="E27" s="2">
        <v>171.19</v>
      </c>
      <c r="F27" s="2">
        <v>169.53</v>
      </c>
      <c r="G27" s="3">
        <v>16786600</v>
      </c>
      <c r="I27">
        <f t="shared" si="0"/>
        <v>-7.3602430048483611E-3</v>
      </c>
    </row>
    <row r="28" spans="1:9" ht="18" x14ac:dyDescent="0.2">
      <c r="A28" s="1">
        <v>46050</v>
      </c>
      <c r="B28" s="2">
        <v>169.96</v>
      </c>
      <c r="C28" s="2">
        <v>170.42</v>
      </c>
      <c r="D28" s="2">
        <v>168.2</v>
      </c>
      <c r="E28" s="2">
        <v>169.93</v>
      </c>
      <c r="F28" s="2">
        <v>168.28</v>
      </c>
      <c r="G28" s="3">
        <v>9200200</v>
      </c>
      <c r="I28">
        <f t="shared" si="0"/>
        <v>-5.1786029541575672E-3</v>
      </c>
    </row>
    <row r="29" spans="1:9" ht="18" x14ac:dyDescent="0.2">
      <c r="A29" s="1">
        <v>46049</v>
      </c>
      <c r="B29" s="2">
        <v>167.77</v>
      </c>
      <c r="C29" s="2">
        <v>169.35</v>
      </c>
      <c r="D29" s="2">
        <v>166.65</v>
      </c>
      <c r="E29" s="2">
        <v>169.05</v>
      </c>
      <c r="F29" s="2">
        <v>167.41</v>
      </c>
      <c r="G29" s="3">
        <v>9784900</v>
      </c>
      <c r="I29">
        <f t="shared" si="0"/>
        <v>-9.168884945282528E-3</v>
      </c>
    </row>
    <row r="30" spans="1:9" ht="18" x14ac:dyDescent="0.2">
      <c r="A30" s="1">
        <v>46048</v>
      </c>
      <c r="B30" s="2">
        <v>168.33</v>
      </c>
      <c r="C30" s="2">
        <v>168.41</v>
      </c>
      <c r="D30" s="2">
        <v>166.77</v>
      </c>
      <c r="E30" s="2">
        <v>167.5</v>
      </c>
      <c r="F30" s="2">
        <v>165.88</v>
      </c>
      <c r="G30" s="3">
        <v>8912600</v>
      </c>
      <c r="I30">
        <f t="shared" si="0"/>
        <v>-4.6567164179104545E-3</v>
      </c>
    </row>
    <row r="31" spans="1:9" ht="18" x14ac:dyDescent="0.2">
      <c r="A31" s="1">
        <v>46045</v>
      </c>
      <c r="B31" s="2">
        <v>167.95</v>
      </c>
      <c r="C31" s="2">
        <v>168.44</v>
      </c>
      <c r="D31" s="2">
        <v>166.44</v>
      </c>
      <c r="E31" s="2">
        <v>166.72</v>
      </c>
      <c r="F31" s="2">
        <v>165.1</v>
      </c>
      <c r="G31" s="3">
        <v>8368700</v>
      </c>
      <c r="I31">
        <f t="shared" si="0"/>
        <v>-3.5988483685222091E-4</v>
      </c>
    </row>
    <row r="32" spans="1:9" ht="18" x14ac:dyDescent="0.2">
      <c r="A32" s="1">
        <v>46044</v>
      </c>
      <c r="B32" s="2">
        <v>166.26</v>
      </c>
      <c r="C32" s="2">
        <v>167.56</v>
      </c>
      <c r="D32" s="2">
        <v>165.73</v>
      </c>
      <c r="E32" s="2">
        <v>166.66</v>
      </c>
      <c r="F32" s="2">
        <v>165.05</v>
      </c>
      <c r="G32" s="3">
        <v>8957400</v>
      </c>
      <c r="I32">
        <f t="shared" si="0"/>
        <v>4.2001680067198596E-4</v>
      </c>
    </row>
    <row r="33" spans="1:9" ht="18" x14ac:dyDescent="0.2">
      <c r="A33" s="1">
        <v>46043</v>
      </c>
      <c r="B33" s="2">
        <v>167</v>
      </c>
      <c r="C33" s="2">
        <v>168.48</v>
      </c>
      <c r="D33" s="2">
        <v>166.06</v>
      </c>
      <c r="E33" s="2">
        <v>166.73</v>
      </c>
      <c r="F33" s="2">
        <v>165.11</v>
      </c>
      <c r="G33" s="3">
        <v>10918500</v>
      </c>
      <c r="I33">
        <f t="shared" si="0"/>
        <v>-8.5767408384812473E-3</v>
      </c>
    </row>
    <row r="34" spans="1:9" ht="18" x14ac:dyDescent="0.2">
      <c r="A34" s="1">
        <v>46042</v>
      </c>
      <c r="B34" s="2">
        <v>166.71</v>
      </c>
      <c r="C34" s="2">
        <v>167.65</v>
      </c>
      <c r="D34" s="2">
        <v>165.15</v>
      </c>
      <c r="E34" s="2">
        <v>165.3</v>
      </c>
      <c r="F34" s="2">
        <v>163.69999999999999</v>
      </c>
      <c r="G34" s="3">
        <v>11142500</v>
      </c>
      <c r="I34">
        <f t="shared" si="0"/>
        <v>5.8076225045370806E-3</v>
      </c>
    </row>
    <row r="35" spans="1:9" ht="18" x14ac:dyDescent="0.2">
      <c r="A35" s="1">
        <v>46038</v>
      </c>
      <c r="B35" s="2">
        <v>166.59</v>
      </c>
      <c r="C35" s="2">
        <v>167.29</v>
      </c>
      <c r="D35" s="2">
        <v>165.81</v>
      </c>
      <c r="E35" s="2">
        <v>166.26</v>
      </c>
      <c r="F35" s="2">
        <v>164.65</v>
      </c>
      <c r="G35" s="3">
        <v>9745800</v>
      </c>
      <c r="I35">
        <f t="shared" si="0"/>
        <v>-6.0146758089735545E-4</v>
      </c>
    </row>
    <row r="36" spans="1:9" ht="18" x14ac:dyDescent="0.2">
      <c r="A36" s="1">
        <v>46037</v>
      </c>
      <c r="B36" s="2">
        <v>165.77</v>
      </c>
      <c r="C36" s="2">
        <v>167.33</v>
      </c>
      <c r="D36" s="2">
        <v>165.1</v>
      </c>
      <c r="E36" s="2">
        <v>166.16</v>
      </c>
      <c r="F36" s="2">
        <v>164.55</v>
      </c>
      <c r="G36" s="3">
        <v>8097400</v>
      </c>
      <c r="I36">
        <f t="shared" si="0"/>
        <v>6.4997592681753282E-3</v>
      </c>
    </row>
    <row r="37" spans="1:9" ht="18" x14ac:dyDescent="0.2">
      <c r="A37" s="1">
        <v>46036</v>
      </c>
      <c r="B37" s="2">
        <v>164.1</v>
      </c>
      <c r="C37" s="2">
        <v>169.37</v>
      </c>
      <c r="D37" s="2">
        <v>164.1</v>
      </c>
      <c r="E37" s="2">
        <v>167.24</v>
      </c>
      <c r="F37" s="2">
        <v>165.62</v>
      </c>
      <c r="G37" s="3">
        <v>16414900</v>
      </c>
      <c r="I37">
        <f t="shared" si="0"/>
        <v>-2.0150681655106459E-2</v>
      </c>
    </row>
    <row r="38" spans="1:9" ht="18" x14ac:dyDescent="0.2">
      <c r="A38" s="1">
        <v>46035</v>
      </c>
      <c r="B38" s="2">
        <v>163.47</v>
      </c>
      <c r="C38" s="2">
        <v>166.13</v>
      </c>
      <c r="D38" s="2">
        <v>163.30000000000001</v>
      </c>
      <c r="E38" s="2">
        <v>163.87</v>
      </c>
      <c r="F38" s="2">
        <v>162.28</v>
      </c>
      <c r="G38" s="3">
        <v>12068600</v>
      </c>
      <c r="I38">
        <f t="shared" si="0"/>
        <v>-9.3366693110392453E-3</v>
      </c>
    </row>
    <row r="39" spans="1:9" ht="18" x14ac:dyDescent="0.2">
      <c r="A39" s="1">
        <v>46034</v>
      </c>
      <c r="B39" s="2">
        <v>162.69999999999999</v>
      </c>
      <c r="C39" s="2">
        <v>163.56</v>
      </c>
      <c r="D39" s="2">
        <v>160.71</v>
      </c>
      <c r="E39" s="2">
        <v>162.34</v>
      </c>
      <c r="F39" s="2">
        <v>160.77000000000001</v>
      </c>
      <c r="G39" s="3">
        <v>9796800</v>
      </c>
      <c r="I39">
        <f t="shared" si="0"/>
        <v>-1.4167795983737203E-3</v>
      </c>
    </row>
    <row r="40" spans="1:9" ht="18" x14ac:dyDescent="0.2">
      <c r="A40" s="1">
        <v>46031</v>
      </c>
      <c r="B40" s="2">
        <v>160.56</v>
      </c>
      <c r="C40" s="2">
        <v>162.69999999999999</v>
      </c>
      <c r="D40" s="2">
        <v>159.94</v>
      </c>
      <c r="E40" s="2">
        <v>162.11000000000001</v>
      </c>
      <c r="F40" s="2">
        <v>160.54</v>
      </c>
      <c r="G40" s="3">
        <v>12549600</v>
      </c>
      <c r="I40">
        <f t="shared" si="0"/>
        <v>-1.7642341619887814E-2</v>
      </c>
    </row>
    <row r="41" spans="1:9" ht="18" x14ac:dyDescent="0.2">
      <c r="A41" s="1">
        <v>46030</v>
      </c>
      <c r="B41" s="2">
        <v>155.5</v>
      </c>
      <c r="C41" s="2">
        <v>160.44</v>
      </c>
      <c r="D41" s="2">
        <v>155.21</v>
      </c>
      <c r="E41" s="2">
        <v>159.25</v>
      </c>
      <c r="F41" s="2">
        <v>157.71</v>
      </c>
      <c r="G41" s="3">
        <v>12929600</v>
      </c>
      <c r="I41">
        <f t="shared" si="0"/>
        <v>-2.5431711145996932E-2</v>
      </c>
    </row>
    <row r="42" spans="1:9" ht="18" x14ac:dyDescent="0.2">
      <c r="A42" s="1">
        <v>46029</v>
      </c>
      <c r="B42" s="2">
        <v>157.44</v>
      </c>
      <c r="C42" s="2">
        <v>158.01</v>
      </c>
      <c r="D42" s="2">
        <v>154.9</v>
      </c>
      <c r="E42" s="2">
        <v>155.19999999999999</v>
      </c>
      <c r="F42" s="2">
        <v>153.69999999999999</v>
      </c>
      <c r="G42" s="3">
        <v>13537900</v>
      </c>
      <c r="I42">
        <f t="shared" si="0"/>
        <v>8.6340206185567241E-3</v>
      </c>
    </row>
    <row r="43" spans="1:9" ht="18" x14ac:dyDescent="0.2">
      <c r="A43" s="1">
        <v>46028</v>
      </c>
      <c r="B43" s="2">
        <v>164.88</v>
      </c>
      <c r="C43" s="2">
        <v>165.05</v>
      </c>
      <c r="D43" s="2">
        <v>156.11000000000001</v>
      </c>
      <c r="E43" s="2">
        <v>156.54</v>
      </c>
      <c r="F43" s="2">
        <v>155.02000000000001</v>
      </c>
      <c r="G43" s="3">
        <v>20564900</v>
      </c>
      <c r="I43">
        <f t="shared" si="0"/>
        <v>4.6697329755972933E-2</v>
      </c>
    </row>
    <row r="44" spans="1:9" ht="18" x14ac:dyDescent="0.2">
      <c r="A44" s="1">
        <v>46027</v>
      </c>
      <c r="B44" s="2">
        <v>165.75</v>
      </c>
      <c r="C44" s="2">
        <v>165.75</v>
      </c>
      <c r="D44" s="2">
        <v>159.31</v>
      </c>
      <c r="E44" s="2">
        <v>163.85</v>
      </c>
      <c r="F44" s="2">
        <v>162.26</v>
      </c>
      <c r="G44" s="3">
        <v>35094900</v>
      </c>
      <c r="I44">
        <f t="shared" si="0"/>
        <v>-4.8519987793713693E-2</v>
      </c>
    </row>
    <row r="45" spans="1:9" ht="18" x14ac:dyDescent="0.2">
      <c r="A45" s="1">
        <v>46024</v>
      </c>
      <c r="B45" s="2">
        <v>152.16999999999999</v>
      </c>
      <c r="C45" s="2">
        <v>155.9</v>
      </c>
      <c r="D45" s="2">
        <v>151.25</v>
      </c>
      <c r="E45" s="2">
        <v>155.9</v>
      </c>
      <c r="F45" s="2">
        <v>154.38999999999999</v>
      </c>
      <c r="G45" s="3">
        <v>6862100</v>
      </c>
      <c r="I45">
        <f t="shared" si="0"/>
        <v>-2.2386144964721032E-2</v>
      </c>
    </row>
    <row r="46" spans="1:9" ht="18" x14ac:dyDescent="0.2">
      <c r="A46" s="1">
        <v>46022</v>
      </c>
      <c r="B46" s="2">
        <v>152.38999999999999</v>
      </c>
      <c r="C46" s="2">
        <v>152.55000000000001</v>
      </c>
      <c r="D46" s="2">
        <v>151.66999999999999</v>
      </c>
      <c r="E46" s="2">
        <v>152.41</v>
      </c>
      <c r="F46" s="2">
        <v>150.93</v>
      </c>
      <c r="G46" s="3">
        <v>4953100</v>
      </c>
      <c r="I46">
        <f t="shared" si="0"/>
        <v>-6.5612492618590857E-4</v>
      </c>
    </row>
    <row r="47" spans="1:9" ht="18" x14ac:dyDescent="0.2">
      <c r="A47" s="1">
        <v>46021</v>
      </c>
      <c r="B47" s="2">
        <v>151.5</v>
      </c>
      <c r="C47" s="2">
        <v>152.66999999999999</v>
      </c>
      <c r="D47" s="2">
        <v>151.47</v>
      </c>
      <c r="E47" s="2">
        <v>152.31</v>
      </c>
      <c r="F47" s="2">
        <v>150.83000000000001</v>
      </c>
      <c r="G47" s="3">
        <v>5150500</v>
      </c>
      <c r="I47">
        <f t="shared" si="0"/>
        <v>-8.6665353555248712E-3</v>
      </c>
    </row>
    <row r="48" spans="1:9" ht="18" x14ac:dyDescent="0.2">
      <c r="A48" s="1">
        <v>46020</v>
      </c>
      <c r="B48" s="2">
        <v>151</v>
      </c>
      <c r="C48" s="2">
        <v>151.63999999999999</v>
      </c>
      <c r="D48" s="2">
        <v>150.09</v>
      </c>
      <c r="E48" s="2">
        <v>150.99</v>
      </c>
      <c r="F48" s="2">
        <v>149.53</v>
      </c>
      <c r="G48" s="3">
        <v>5589100</v>
      </c>
      <c r="I48">
        <f t="shared" si="0"/>
        <v>-6.4242665077157346E-3</v>
      </c>
    </row>
    <row r="49" spans="1:9" ht="18" x14ac:dyDescent="0.2">
      <c r="A49" s="1">
        <v>46017</v>
      </c>
      <c r="B49" s="2">
        <v>150.38</v>
      </c>
      <c r="C49" s="2">
        <v>151.13999999999999</v>
      </c>
      <c r="D49" s="2">
        <v>149.65</v>
      </c>
      <c r="E49" s="2">
        <v>150.02000000000001</v>
      </c>
      <c r="F49" s="2">
        <v>148.57</v>
      </c>
      <c r="G49" s="3">
        <v>3706900</v>
      </c>
      <c r="I49">
        <f t="shared" si="0"/>
        <v>3.1995733902145697E-3</v>
      </c>
    </row>
    <row r="50" spans="1:9" ht="18" x14ac:dyDescent="0.2">
      <c r="A50" s="1">
        <v>46015</v>
      </c>
      <c r="B50" s="2">
        <v>150.38</v>
      </c>
      <c r="C50" s="2">
        <v>150.99</v>
      </c>
      <c r="D50" s="2">
        <v>150.1</v>
      </c>
      <c r="E50" s="2">
        <v>150.5</v>
      </c>
      <c r="F50" s="2">
        <v>149.04</v>
      </c>
      <c r="G50" s="3">
        <v>2227600</v>
      </c>
      <c r="I50">
        <f t="shared" si="0"/>
        <v>6.6445182724192065E-5</v>
      </c>
    </row>
    <row r="51" spans="1:9" ht="18" x14ac:dyDescent="0.2">
      <c r="A51" s="1">
        <v>46014</v>
      </c>
      <c r="B51" s="2">
        <v>150.04</v>
      </c>
      <c r="C51" s="2">
        <v>151.08000000000001</v>
      </c>
      <c r="D51" s="2">
        <v>149.85</v>
      </c>
      <c r="E51" s="2">
        <v>150.51</v>
      </c>
      <c r="F51" s="2">
        <v>149.05000000000001</v>
      </c>
      <c r="G51" s="3">
        <v>4663700</v>
      </c>
      <c r="I51">
        <f t="shared" si="0"/>
        <v>-4.7172945319246531E-3</v>
      </c>
    </row>
    <row r="52" spans="1:9" ht="18" x14ac:dyDescent="0.2">
      <c r="A52" s="1">
        <v>46013</v>
      </c>
      <c r="B52" s="2">
        <v>148.81</v>
      </c>
      <c r="C52" s="2">
        <v>150.49</v>
      </c>
      <c r="D52" s="2">
        <v>148.69999999999999</v>
      </c>
      <c r="E52" s="2">
        <v>149.80000000000001</v>
      </c>
      <c r="F52" s="2">
        <v>148.35</v>
      </c>
      <c r="G52" s="3">
        <v>8143600</v>
      </c>
      <c r="I52">
        <f t="shared" si="0"/>
        <v>-1.3684913217623574E-2</v>
      </c>
    </row>
    <row r="53" spans="1:9" ht="18" x14ac:dyDescent="0.2">
      <c r="A53" s="1">
        <v>46010</v>
      </c>
      <c r="B53" s="2">
        <v>147.96</v>
      </c>
      <c r="C53" s="2">
        <v>149.01</v>
      </c>
      <c r="D53" s="2">
        <v>147.19</v>
      </c>
      <c r="E53" s="2">
        <v>147.75</v>
      </c>
      <c r="F53" s="2">
        <v>146.32</v>
      </c>
      <c r="G53" s="3">
        <v>21701400</v>
      </c>
      <c r="I53">
        <f t="shared" si="0"/>
        <v>-4.0609137055839102E-4</v>
      </c>
    </row>
    <row r="54" spans="1:9" ht="18" x14ac:dyDescent="0.2">
      <c r="A54" s="1">
        <v>46009</v>
      </c>
      <c r="B54" s="2">
        <v>148.85</v>
      </c>
      <c r="C54" s="2">
        <v>149.27000000000001</v>
      </c>
      <c r="D54" s="2">
        <v>147.08000000000001</v>
      </c>
      <c r="E54" s="2">
        <v>147.69</v>
      </c>
      <c r="F54" s="2">
        <v>146.26</v>
      </c>
      <c r="G54" s="3">
        <v>6998800</v>
      </c>
      <c r="I54">
        <f t="shared" si="0"/>
        <v>1.2390818606540812E-2</v>
      </c>
    </row>
    <row r="55" spans="1:9" ht="18" x14ac:dyDescent="0.2">
      <c r="A55" s="1">
        <v>46008</v>
      </c>
      <c r="B55" s="2">
        <v>147.5</v>
      </c>
      <c r="C55" s="2">
        <v>149.87</v>
      </c>
      <c r="D55" s="2">
        <v>147.35</v>
      </c>
      <c r="E55" s="2">
        <v>149.52000000000001</v>
      </c>
      <c r="F55" s="2">
        <v>148.07</v>
      </c>
      <c r="G55" s="3">
        <v>8805300</v>
      </c>
      <c r="I55">
        <f t="shared" si="0"/>
        <v>-1.8525949705725055E-2</v>
      </c>
    </row>
    <row r="56" spans="1:9" ht="18" x14ac:dyDescent="0.2">
      <c r="A56" s="1">
        <v>46007</v>
      </c>
      <c r="B56" s="2">
        <v>148.54</v>
      </c>
      <c r="C56" s="2">
        <v>148.82</v>
      </c>
      <c r="D56" s="2">
        <v>146.49</v>
      </c>
      <c r="E56" s="2">
        <v>146.75</v>
      </c>
      <c r="F56" s="2">
        <v>145.33000000000001</v>
      </c>
      <c r="G56" s="3">
        <v>11290500</v>
      </c>
      <c r="I56">
        <f t="shared" si="0"/>
        <v>2.0783645655877418E-2</v>
      </c>
    </row>
    <row r="57" spans="1:9" ht="18" x14ac:dyDescent="0.2">
      <c r="A57" s="1">
        <v>46006</v>
      </c>
      <c r="B57" s="2">
        <v>149.84</v>
      </c>
      <c r="C57" s="2">
        <v>150.1</v>
      </c>
      <c r="D57" s="2">
        <v>148.43</v>
      </c>
      <c r="E57" s="2">
        <v>149.80000000000001</v>
      </c>
      <c r="F57" s="2">
        <v>148.35</v>
      </c>
      <c r="G57" s="3">
        <v>7503000</v>
      </c>
      <c r="I57">
        <f t="shared" si="0"/>
        <v>1.2683578104138698E-3</v>
      </c>
    </row>
    <row r="58" spans="1:9" ht="18" x14ac:dyDescent="0.2">
      <c r="A58" s="1">
        <v>46003</v>
      </c>
      <c r="B58" s="2">
        <v>151.15</v>
      </c>
      <c r="C58" s="2">
        <v>151.55000000000001</v>
      </c>
      <c r="D58" s="2">
        <v>149.63</v>
      </c>
      <c r="E58" s="2">
        <v>149.99</v>
      </c>
      <c r="F58" s="2">
        <v>148.54</v>
      </c>
      <c r="G58" s="3">
        <v>5848100</v>
      </c>
      <c r="I58">
        <f t="shared" si="0"/>
        <v>4.8669911327421144E-3</v>
      </c>
    </row>
    <row r="59" spans="1:9" ht="18" x14ac:dyDescent="0.2">
      <c r="A59" s="1">
        <v>46002</v>
      </c>
      <c r="B59" s="2">
        <v>150.83000000000001</v>
      </c>
      <c r="C59" s="2">
        <v>151.94</v>
      </c>
      <c r="D59" s="2">
        <v>150.1</v>
      </c>
      <c r="E59" s="2">
        <v>150.72</v>
      </c>
      <c r="F59" s="2">
        <v>149.26</v>
      </c>
      <c r="G59" s="3">
        <v>8414200</v>
      </c>
      <c r="I59">
        <f t="shared" si="0"/>
        <v>4.5780254777069915E-3</v>
      </c>
    </row>
    <row r="60" spans="1:9" ht="18" x14ac:dyDescent="0.2">
      <c r="A60" s="1">
        <v>46001</v>
      </c>
      <c r="B60" s="2">
        <v>149.18</v>
      </c>
      <c r="C60" s="2">
        <v>151.80000000000001</v>
      </c>
      <c r="D60" s="2">
        <v>148.69999999999999</v>
      </c>
      <c r="E60" s="2">
        <v>151.41</v>
      </c>
      <c r="F60" s="2">
        <v>149.94</v>
      </c>
      <c r="G60" s="3">
        <v>10976300</v>
      </c>
      <c r="I60">
        <f t="shared" si="0"/>
        <v>-1.9285384056535154E-2</v>
      </c>
    </row>
    <row r="61" spans="1:9" ht="18" x14ac:dyDescent="0.2">
      <c r="A61" s="1">
        <v>46000</v>
      </c>
      <c r="B61" s="2">
        <v>149.05000000000001</v>
      </c>
      <c r="C61" s="2">
        <v>150.1</v>
      </c>
      <c r="D61" s="2">
        <v>148.22</v>
      </c>
      <c r="E61" s="2">
        <v>148.49</v>
      </c>
      <c r="F61" s="2">
        <v>147.05000000000001</v>
      </c>
      <c r="G61" s="3">
        <v>8916700</v>
      </c>
      <c r="I61">
        <f t="shared" si="0"/>
        <v>1.4815812512627036E-3</v>
      </c>
    </row>
    <row r="62" spans="1:9" ht="18" x14ac:dyDescent="0.2">
      <c r="A62" s="1">
        <v>45999</v>
      </c>
      <c r="B62" s="2">
        <v>149.25</v>
      </c>
      <c r="C62" s="2">
        <v>150.07</v>
      </c>
      <c r="D62" s="2">
        <v>147.66</v>
      </c>
      <c r="E62" s="2">
        <v>148.71</v>
      </c>
      <c r="F62" s="2">
        <v>147.27000000000001</v>
      </c>
      <c r="G62" s="3">
        <v>10237200</v>
      </c>
      <c r="I62">
        <f t="shared" si="0"/>
        <v>8.6746015735323246E-3</v>
      </c>
    </row>
    <row r="63" spans="1:9" ht="18" x14ac:dyDescent="0.2">
      <c r="A63" s="1">
        <v>45996</v>
      </c>
      <c r="B63" s="2">
        <v>152</v>
      </c>
      <c r="C63" s="2">
        <v>152.63</v>
      </c>
      <c r="D63" s="2">
        <v>149.83000000000001</v>
      </c>
      <c r="E63" s="2">
        <v>150</v>
      </c>
      <c r="F63" s="2">
        <v>148.55000000000001</v>
      </c>
      <c r="G63" s="3">
        <v>12659800</v>
      </c>
      <c r="I63">
        <f t="shared" si="0"/>
        <v>1.5066666666666607E-2</v>
      </c>
    </row>
    <row r="64" spans="1:9" ht="18" x14ac:dyDescent="0.2">
      <c r="A64" s="1">
        <v>45995</v>
      </c>
      <c r="B64" s="2">
        <v>151.75</v>
      </c>
      <c r="C64" s="2">
        <v>152.94</v>
      </c>
      <c r="D64" s="2">
        <v>151.22</v>
      </c>
      <c r="E64" s="2">
        <v>152.26</v>
      </c>
      <c r="F64" s="2">
        <v>150.78</v>
      </c>
      <c r="G64" s="3">
        <v>7254700</v>
      </c>
      <c r="I64">
        <f t="shared" si="0"/>
        <v>-4.4003677919347665E-3</v>
      </c>
    </row>
    <row r="65" spans="1:9" ht="18" x14ac:dyDescent="0.2">
      <c r="A65" s="1">
        <v>45994</v>
      </c>
      <c r="B65" s="2">
        <v>151.04</v>
      </c>
      <c r="C65" s="2">
        <v>152.5</v>
      </c>
      <c r="D65" s="2">
        <v>150.97999999999999</v>
      </c>
      <c r="E65" s="2">
        <v>151.59</v>
      </c>
      <c r="F65" s="2">
        <v>150.12</v>
      </c>
      <c r="G65" s="3">
        <v>8060200</v>
      </c>
      <c r="I65">
        <f t="shared" si="0"/>
        <v>-8.8396332211887543E-3</v>
      </c>
    </row>
    <row r="66" spans="1:9" ht="18" x14ac:dyDescent="0.2">
      <c r="A66" s="1">
        <v>45993</v>
      </c>
      <c r="B66" s="2">
        <v>152.02000000000001</v>
      </c>
      <c r="C66" s="2">
        <v>152.46</v>
      </c>
      <c r="D66" s="2">
        <v>149.26</v>
      </c>
      <c r="E66" s="2">
        <v>150.25</v>
      </c>
      <c r="F66" s="2">
        <v>148.79</v>
      </c>
      <c r="G66" s="3">
        <v>9196300</v>
      </c>
      <c r="I66">
        <f t="shared" ref="I66:I128" si="1">(E67-E66)/E66</f>
        <v>1.5241264559068166E-2</v>
      </c>
    </row>
    <row r="67" spans="1:9" ht="18" x14ac:dyDescent="0.2">
      <c r="A67" s="1">
        <v>45992</v>
      </c>
      <c r="B67" s="2">
        <v>151.75</v>
      </c>
      <c r="C67" s="2">
        <v>153.94999999999999</v>
      </c>
      <c r="D67" s="2">
        <v>151.5</v>
      </c>
      <c r="E67" s="2">
        <v>152.54</v>
      </c>
      <c r="F67" s="2">
        <v>151.06</v>
      </c>
      <c r="G67" s="3">
        <v>8209000</v>
      </c>
      <c r="I67">
        <f t="shared" si="1"/>
        <v>-9.2434771207551905E-3</v>
      </c>
    </row>
    <row r="68" spans="1:9" ht="18" x14ac:dyDescent="0.2">
      <c r="A68" s="1">
        <v>45989</v>
      </c>
      <c r="B68" s="2">
        <v>149.46</v>
      </c>
      <c r="C68" s="2">
        <v>151.52000000000001</v>
      </c>
      <c r="D68" s="2">
        <v>149.26</v>
      </c>
      <c r="E68" s="2">
        <v>151.13</v>
      </c>
      <c r="F68" s="2">
        <v>149.66999999999999</v>
      </c>
      <c r="G68" s="3">
        <v>3848600</v>
      </c>
      <c r="I68">
        <f t="shared" si="1"/>
        <v>-1.0719248329252992E-2</v>
      </c>
    </row>
    <row r="69" spans="1:9" ht="18" x14ac:dyDescent="0.2">
      <c r="A69" s="1">
        <v>45987</v>
      </c>
      <c r="B69" s="2">
        <v>148.26</v>
      </c>
      <c r="C69" s="2">
        <v>150.46</v>
      </c>
      <c r="D69" s="2">
        <v>148.19999999999999</v>
      </c>
      <c r="E69" s="2">
        <v>149.51</v>
      </c>
      <c r="F69" s="2">
        <v>148.06</v>
      </c>
      <c r="G69" s="3">
        <v>7578900</v>
      </c>
      <c r="I69">
        <f t="shared" si="1"/>
        <v>-6.5547455019730437E-3</v>
      </c>
    </row>
    <row r="70" spans="1:9" ht="18" x14ac:dyDescent="0.2">
      <c r="A70" s="1">
        <v>45986</v>
      </c>
      <c r="B70" s="2">
        <v>148.9</v>
      </c>
      <c r="C70" s="2">
        <v>149.9</v>
      </c>
      <c r="D70" s="2">
        <v>148.27000000000001</v>
      </c>
      <c r="E70" s="2">
        <v>148.53</v>
      </c>
      <c r="F70" s="2">
        <v>147.09</v>
      </c>
      <c r="G70" s="3">
        <v>11447900</v>
      </c>
      <c r="I70">
        <f t="shared" si="1"/>
        <v>8.2138288561233348E-3</v>
      </c>
    </row>
    <row r="71" spans="1:9" ht="18" x14ac:dyDescent="0.2">
      <c r="A71" s="1">
        <v>45985</v>
      </c>
      <c r="B71" s="2">
        <v>149.82</v>
      </c>
      <c r="C71" s="2">
        <v>150.12</v>
      </c>
      <c r="D71" s="2">
        <v>147.74</v>
      </c>
      <c r="E71" s="2">
        <v>149.75</v>
      </c>
      <c r="F71" s="2">
        <v>148.30000000000001</v>
      </c>
      <c r="G71" s="3">
        <v>14181100</v>
      </c>
      <c r="I71">
        <f t="shared" si="1"/>
        <v>1.5358931552586963E-3</v>
      </c>
    </row>
    <row r="72" spans="1:9" ht="18" x14ac:dyDescent="0.2">
      <c r="A72" s="1">
        <v>45982</v>
      </c>
      <c r="B72" s="2">
        <v>150.44</v>
      </c>
      <c r="C72" s="2">
        <v>151.01</v>
      </c>
      <c r="D72" s="2">
        <v>148.75</v>
      </c>
      <c r="E72" s="2">
        <v>149.97999999999999</v>
      </c>
      <c r="F72" s="2">
        <v>148.53</v>
      </c>
      <c r="G72" s="3">
        <v>9248400</v>
      </c>
      <c r="I72">
        <f t="shared" si="1"/>
        <v>2.2002933724497437E-3</v>
      </c>
    </row>
    <row r="73" spans="1:9" ht="18" x14ac:dyDescent="0.2">
      <c r="A73" s="1">
        <v>45981</v>
      </c>
      <c r="B73" s="2">
        <v>152.54</v>
      </c>
      <c r="C73" s="2">
        <v>153.04</v>
      </c>
      <c r="D73" s="2">
        <v>150.05000000000001</v>
      </c>
      <c r="E73" s="2">
        <v>150.31</v>
      </c>
      <c r="F73" s="2">
        <v>148.85</v>
      </c>
      <c r="G73" s="3">
        <v>7623400</v>
      </c>
      <c r="I73">
        <f t="shared" si="1"/>
        <v>9.2475550528906009E-3</v>
      </c>
    </row>
    <row r="74" spans="1:9" ht="18" x14ac:dyDescent="0.2">
      <c r="A74" s="1">
        <v>45980</v>
      </c>
      <c r="B74" s="2">
        <v>151.16</v>
      </c>
      <c r="C74" s="2">
        <v>151.96</v>
      </c>
      <c r="D74" s="2">
        <v>150.25</v>
      </c>
      <c r="E74" s="2">
        <v>151.69999999999999</v>
      </c>
      <c r="F74" s="2">
        <v>150.22999999999999</v>
      </c>
      <c r="G74" s="3">
        <v>7539900</v>
      </c>
      <c r="I74">
        <f>(E75-E74)/E74</f>
        <v>1.2656558998022519E-2</v>
      </c>
    </row>
    <row r="75" spans="1:9" ht="18" x14ac:dyDescent="0.2">
      <c r="A75" s="1">
        <v>45979</v>
      </c>
      <c r="B75" s="2">
        <v>152.5</v>
      </c>
      <c r="C75" s="2">
        <v>154.28</v>
      </c>
      <c r="D75" s="2">
        <v>151.76</v>
      </c>
      <c r="E75" s="2">
        <v>153.62</v>
      </c>
      <c r="F75" s="2">
        <v>152.13</v>
      </c>
      <c r="G75" s="3">
        <v>10813400</v>
      </c>
      <c r="I75">
        <f t="shared" si="1"/>
        <v>7.8114828798332807E-3</v>
      </c>
    </row>
    <row r="76" spans="1:9" ht="18" x14ac:dyDescent="0.2">
      <c r="A76" s="1">
        <v>45978</v>
      </c>
      <c r="B76" s="2">
        <v>157.72</v>
      </c>
      <c r="C76" s="2">
        <v>157.88999999999999</v>
      </c>
      <c r="D76" s="2">
        <v>154.44</v>
      </c>
      <c r="E76" s="2">
        <v>154.82</v>
      </c>
      <c r="F76" s="2">
        <v>151.63</v>
      </c>
      <c r="G76" s="3">
        <v>8745000</v>
      </c>
      <c r="I76">
        <f t="shared" si="1"/>
        <v>1.8085518666838985E-2</v>
      </c>
    </row>
    <row r="77" spans="1:9" ht="18" x14ac:dyDescent="0.2">
      <c r="A77" s="1">
        <v>45975</v>
      </c>
      <c r="B77" s="2">
        <v>156.22999999999999</v>
      </c>
      <c r="C77" s="2">
        <v>157.94999999999999</v>
      </c>
      <c r="D77" s="2">
        <v>154.81</v>
      </c>
      <c r="E77" s="2">
        <v>157.62</v>
      </c>
      <c r="F77" s="2">
        <v>154.37</v>
      </c>
      <c r="G77" s="3">
        <v>8484800</v>
      </c>
      <c r="I77">
        <f t="shared" si="1"/>
        <v>-1.2942519984773455E-2</v>
      </c>
    </row>
    <row r="78" spans="1:9" ht="18" x14ac:dyDescent="0.2">
      <c r="A78" s="1">
        <v>45974</v>
      </c>
      <c r="B78" s="2">
        <v>154</v>
      </c>
      <c r="C78" s="2">
        <v>156.19999999999999</v>
      </c>
      <c r="D78" s="2">
        <v>153.93</v>
      </c>
      <c r="E78" s="2">
        <v>155.58000000000001</v>
      </c>
      <c r="F78" s="2">
        <v>152.37</v>
      </c>
      <c r="G78" s="3">
        <v>7998700</v>
      </c>
      <c r="I78">
        <f t="shared" si="1"/>
        <v>-1.4526288726057457E-2</v>
      </c>
    </row>
    <row r="79" spans="1:9" ht="18" x14ac:dyDescent="0.2">
      <c r="A79" s="1">
        <v>45973</v>
      </c>
      <c r="B79" s="2">
        <v>155.58000000000001</v>
      </c>
      <c r="C79" s="2">
        <v>155.79</v>
      </c>
      <c r="D79" s="2">
        <v>152.08000000000001</v>
      </c>
      <c r="E79" s="2">
        <v>153.32</v>
      </c>
      <c r="F79" s="2">
        <v>150.16</v>
      </c>
      <c r="G79" s="3">
        <v>11670900</v>
      </c>
      <c r="I79">
        <f t="shared" si="1"/>
        <v>1.9045134359509629E-2</v>
      </c>
    </row>
    <row r="80" spans="1:9" ht="18" x14ac:dyDescent="0.2">
      <c r="A80" s="1">
        <v>45972</v>
      </c>
      <c r="B80" s="2">
        <v>156.75</v>
      </c>
      <c r="C80" s="2">
        <v>157.99</v>
      </c>
      <c r="D80" s="2">
        <v>155.9</v>
      </c>
      <c r="E80" s="2">
        <v>156.24</v>
      </c>
      <c r="F80" s="2">
        <v>153.02000000000001</v>
      </c>
      <c r="G80" s="3">
        <v>6361400</v>
      </c>
      <c r="I80">
        <f t="shared" si="1"/>
        <v>-3.7762416794675075E-3</v>
      </c>
    </row>
    <row r="81" spans="1:9" ht="18" x14ac:dyDescent="0.2">
      <c r="A81" s="1">
        <v>45971</v>
      </c>
      <c r="B81" s="2">
        <v>155.41999999999999</v>
      </c>
      <c r="C81" s="2">
        <v>155.97999999999999</v>
      </c>
      <c r="D81" s="2">
        <v>152.37</v>
      </c>
      <c r="E81" s="2">
        <v>155.65</v>
      </c>
      <c r="F81" s="2">
        <v>152.44</v>
      </c>
      <c r="G81" s="3">
        <v>8436800</v>
      </c>
      <c r="I81">
        <f t="shared" si="1"/>
        <v>-4.0475425634435942E-3</v>
      </c>
    </row>
    <row r="82" spans="1:9" ht="18" x14ac:dyDescent="0.2">
      <c r="A82" s="1">
        <v>45968</v>
      </c>
      <c r="B82" s="2">
        <v>153.43</v>
      </c>
      <c r="C82" s="2">
        <v>156.16999999999999</v>
      </c>
      <c r="D82" s="2">
        <v>153.43</v>
      </c>
      <c r="E82" s="2">
        <v>155.02000000000001</v>
      </c>
      <c r="F82" s="2">
        <v>151.82</v>
      </c>
      <c r="G82" s="3">
        <v>9835900</v>
      </c>
      <c r="I82">
        <f t="shared" si="1"/>
        <v>-1.3417623532447506E-2</v>
      </c>
    </row>
    <row r="83" spans="1:9" ht="18" x14ac:dyDescent="0.2">
      <c r="A83" s="1">
        <v>45967</v>
      </c>
      <c r="B83" s="2">
        <v>152.91</v>
      </c>
      <c r="C83" s="2">
        <v>154.79</v>
      </c>
      <c r="D83" s="2">
        <v>152.68</v>
      </c>
      <c r="E83" s="2">
        <v>152.94</v>
      </c>
      <c r="F83" s="2">
        <v>149.79</v>
      </c>
      <c r="G83" s="3">
        <v>6466300</v>
      </c>
      <c r="I83">
        <f t="shared" si="1"/>
        <v>-1.8307833137178053E-3</v>
      </c>
    </row>
    <row r="84" spans="1:9" ht="18" x14ac:dyDescent="0.2">
      <c r="A84" s="1">
        <v>45966</v>
      </c>
      <c r="B84" s="2">
        <v>153.53</v>
      </c>
      <c r="C84" s="2">
        <v>154.4</v>
      </c>
      <c r="D84" s="2">
        <v>152.66</v>
      </c>
      <c r="E84" s="2">
        <v>152.66</v>
      </c>
      <c r="F84" s="2">
        <v>149.51</v>
      </c>
      <c r="G84" s="3">
        <v>5894700</v>
      </c>
      <c r="I84">
        <f t="shared" si="1"/>
        <v>4.7818682038516299E-3</v>
      </c>
    </row>
    <row r="85" spans="1:9" ht="18" x14ac:dyDescent="0.2">
      <c r="A85" s="1">
        <v>45965</v>
      </c>
      <c r="B85" s="2">
        <v>153.43</v>
      </c>
      <c r="C85" s="2">
        <v>153.76</v>
      </c>
      <c r="D85" s="2">
        <v>152.15</v>
      </c>
      <c r="E85" s="2">
        <v>153.38999999999999</v>
      </c>
      <c r="F85" s="2">
        <v>150.22999999999999</v>
      </c>
      <c r="G85" s="3">
        <v>6976800</v>
      </c>
      <c r="I85">
        <f t="shared" si="1"/>
        <v>4.2375643783819396E-3</v>
      </c>
    </row>
    <row r="86" spans="1:9" ht="18" x14ac:dyDescent="0.2">
      <c r="A86" s="1">
        <v>45964</v>
      </c>
      <c r="B86" s="2">
        <v>157.41</v>
      </c>
      <c r="C86" s="2">
        <v>157.72</v>
      </c>
      <c r="D86" s="2">
        <v>153.57</v>
      </c>
      <c r="E86" s="2">
        <v>154.04</v>
      </c>
      <c r="F86" s="2">
        <v>150.86000000000001</v>
      </c>
      <c r="G86" s="3">
        <v>8512200</v>
      </c>
      <c r="I86">
        <f t="shared" si="1"/>
        <v>2.3889898727603266E-2</v>
      </c>
    </row>
    <row r="87" spans="1:9" ht="18" x14ac:dyDescent="0.2">
      <c r="A87" s="1">
        <v>45961</v>
      </c>
      <c r="B87" s="2">
        <v>155.72999999999999</v>
      </c>
      <c r="C87" s="2">
        <v>159.18</v>
      </c>
      <c r="D87" s="2">
        <v>155.11000000000001</v>
      </c>
      <c r="E87" s="2">
        <v>157.72</v>
      </c>
      <c r="F87" s="2">
        <v>154.47</v>
      </c>
      <c r="G87" s="3">
        <v>11136100</v>
      </c>
      <c r="I87">
        <f t="shared" si="1"/>
        <v>-2.6629469946740987E-2</v>
      </c>
    </row>
    <row r="88" spans="1:9" ht="18" x14ac:dyDescent="0.2">
      <c r="A88" s="1">
        <v>45960</v>
      </c>
      <c r="B88" s="2">
        <v>155.22999999999999</v>
      </c>
      <c r="C88" s="2">
        <v>155.22999999999999</v>
      </c>
      <c r="D88" s="2">
        <v>153.24</v>
      </c>
      <c r="E88" s="2">
        <v>153.52000000000001</v>
      </c>
      <c r="F88" s="2">
        <v>150.35</v>
      </c>
      <c r="G88" s="3">
        <v>8971200</v>
      </c>
      <c r="I88">
        <f t="shared" si="1"/>
        <v>1.0291818655549661E-2</v>
      </c>
    </row>
    <row r="89" spans="1:9" ht="18" x14ac:dyDescent="0.2">
      <c r="A89" s="1">
        <v>45959</v>
      </c>
      <c r="B89" s="2">
        <v>153.86000000000001</v>
      </c>
      <c r="C89" s="2">
        <v>156.15</v>
      </c>
      <c r="D89" s="2">
        <v>153.86000000000001</v>
      </c>
      <c r="E89" s="2">
        <v>155.1</v>
      </c>
      <c r="F89" s="2">
        <v>151.9</v>
      </c>
      <c r="G89" s="3">
        <v>7344400</v>
      </c>
      <c r="I89">
        <f t="shared" si="1"/>
        <v>-6.2540296582849703E-3</v>
      </c>
    </row>
    <row r="90" spans="1:9" ht="18" x14ac:dyDescent="0.2">
      <c r="A90" s="1">
        <v>45958</v>
      </c>
      <c r="B90" s="2">
        <v>154.9</v>
      </c>
      <c r="C90" s="2">
        <v>156.22999999999999</v>
      </c>
      <c r="D90" s="2">
        <v>153.88999999999999</v>
      </c>
      <c r="E90" s="2">
        <v>154.13</v>
      </c>
      <c r="F90" s="2">
        <v>150.94999999999999</v>
      </c>
      <c r="G90" s="3">
        <v>5066500</v>
      </c>
      <c r="I90">
        <f t="shared" si="1"/>
        <v>7.4612340232271829E-3</v>
      </c>
    </row>
    <row r="91" spans="1:9" ht="18" x14ac:dyDescent="0.2">
      <c r="A91" s="1">
        <v>45957</v>
      </c>
      <c r="B91" s="2">
        <v>155.80000000000001</v>
      </c>
      <c r="C91" s="2">
        <v>156.5</v>
      </c>
      <c r="D91" s="2">
        <v>154.87</v>
      </c>
      <c r="E91" s="2">
        <v>155.28</v>
      </c>
      <c r="F91" s="2">
        <v>152.08000000000001</v>
      </c>
      <c r="G91" s="3">
        <v>4884400</v>
      </c>
      <c r="I91">
        <f t="shared" si="1"/>
        <v>1.803194229778472E-3</v>
      </c>
    </row>
    <row r="92" spans="1:9" ht="18" x14ac:dyDescent="0.2">
      <c r="A92" s="1">
        <v>45954</v>
      </c>
      <c r="B92" s="2">
        <v>157.41999999999999</v>
      </c>
      <c r="C92" s="2">
        <v>157.63</v>
      </c>
      <c r="D92" s="2">
        <v>155.43</v>
      </c>
      <c r="E92" s="2">
        <v>155.56</v>
      </c>
      <c r="F92" s="2">
        <v>152.35</v>
      </c>
      <c r="G92" s="3">
        <v>4979900</v>
      </c>
      <c r="I92">
        <f t="shared" si="1"/>
        <v>6.428387760349704E-3</v>
      </c>
    </row>
    <row r="93" spans="1:9" ht="18" x14ac:dyDescent="0.2">
      <c r="A93" s="1">
        <v>45953</v>
      </c>
      <c r="B93" s="2">
        <v>158.19999999999999</v>
      </c>
      <c r="C93" s="2">
        <v>158.59</v>
      </c>
      <c r="D93" s="2">
        <v>156.12</v>
      </c>
      <c r="E93" s="2">
        <v>156.56</v>
      </c>
      <c r="F93" s="2">
        <v>153.33000000000001</v>
      </c>
      <c r="G93" s="3">
        <v>9810900</v>
      </c>
      <c r="I93">
        <f t="shared" si="1"/>
        <v>-6.3234542667348565E-3</v>
      </c>
    </row>
    <row r="94" spans="1:9" ht="18" x14ac:dyDescent="0.2">
      <c r="A94" s="1">
        <v>45952</v>
      </c>
      <c r="B94" s="2">
        <v>154.65</v>
      </c>
      <c r="C94" s="2">
        <v>155.97999999999999</v>
      </c>
      <c r="D94" s="2">
        <v>153.61000000000001</v>
      </c>
      <c r="E94" s="2">
        <v>155.57</v>
      </c>
      <c r="F94" s="2">
        <v>152.36000000000001</v>
      </c>
      <c r="G94" s="3">
        <v>6036700</v>
      </c>
      <c r="I94">
        <f t="shared" si="1"/>
        <v>-1.1441794690493034E-2</v>
      </c>
    </row>
    <row r="95" spans="1:9" ht="18" x14ac:dyDescent="0.2">
      <c r="A95" s="1">
        <v>45951</v>
      </c>
      <c r="B95" s="2">
        <v>154.74</v>
      </c>
      <c r="C95" s="2">
        <v>155.29</v>
      </c>
      <c r="D95" s="2">
        <v>153.21</v>
      </c>
      <c r="E95" s="2">
        <v>153.79</v>
      </c>
      <c r="F95" s="2">
        <v>150.62</v>
      </c>
      <c r="G95" s="3">
        <v>6304900</v>
      </c>
      <c r="I95">
        <f t="shared" si="1"/>
        <v>4.4866376227322823E-3</v>
      </c>
    </row>
    <row r="96" spans="1:9" ht="18" x14ac:dyDescent="0.2">
      <c r="A96" s="1">
        <v>45950</v>
      </c>
      <c r="B96" s="2">
        <v>153.43</v>
      </c>
      <c r="C96" s="2">
        <v>154.72</v>
      </c>
      <c r="D96" s="2">
        <v>153.18</v>
      </c>
      <c r="E96" s="2">
        <v>154.47999999999999</v>
      </c>
      <c r="F96" s="2">
        <v>151.29</v>
      </c>
      <c r="G96" s="3">
        <v>5676500</v>
      </c>
      <c r="I96">
        <f t="shared" si="1"/>
        <v>-9.0626618332468756E-3</v>
      </c>
    </row>
    <row r="97" spans="1:9" ht="18" x14ac:dyDescent="0.2">
      <c r="A97" s="1">
        <v>45947</v>
      </c>
      <c r="B97" s="2">
        <v>152.26</v>
      </c>
      <c r="C97" s="2">
        <v>154.19</v>
      </c>
      <c r="D97" s="2">
        <v>152.19999999999999</v>
      </c>
      <c r="E97" s="2">
        <v>153.08000000000001</v>
      </c>
      <c r="F97" s="2">
        <v>149.91999999999999</v>
      </c>
      <c r="G97" s="3">
        <v>7735500</v>
      </c>
      <c r="I97">
        <f t="shared" si="1"/>
        <v>-8.949568852887408E-3</v>
      </c>
    </row>
    <row r="98" spans="1:9" ht="18" x14ac:dyDescent="0.2">
      <c r="A98" s="1">
        <v>45946</v>
      </c>
      <c r="B98" s="2">
        <v>152.13999999999999</v>
      </c>
      <c r="C98" s="2">
        <v>152.72999999999999</v>
      </c>
      <c r="D98" s="2">
        <v>150.22999999999999</v>
      </c>
      <c r="E98" s="2">
        <v>151.71</v>
      </c>
      <c r="F98" s="2">
        <v>148.58000000000001</v>
      </c>
      <c r="G98" s="3">
        <v>5276800</v>
      </c>
      <c r="I98">
        <f t="shared" si="1"/>
        <v>2.6366093204139851E-3</v>
      </c>
    </row>
    <row r="99" spans="1:9" ht="18" x14ac:dyDescent="0.2">
      <c r="A99" s="1">
        <v>45945</v>
      </c>
      <c r="B99" s="2">
        <v>152.9</v>
      </c>
      <c r="C99" s="2">
        <v>154.21</v>
      </c>
      <c r="D99" s="2">
        <v>151.04</v>
      </c>
      <c r="E99" s="2">
        <v>152.11000000000001</v>
      </c>
      <c r="F99" s="2">
        <v>148.97</v>
      </c>
      <c r="G99" s="3">
        <v>5824900</v>
      </c>
      <c r="I99">
        <f t="shared" si="1"/>
        <v>1.8407731247121997E-3</v>
      </c>
    </row>
    <row r="100" spans="1:9" ht="18" x14ac:dyDescent="0.2">
      <c r="A100" s="1">
        <v>45944</v>
      </c>
      <c r="B100" s="2">
        <v>149.81</v>
      </c>
      <c r="C100" s="2">
        <v>153.46</v>
      </c>
      <c r="D100" s="2">
        <v>149.66</v>
      </c>
      <c r="E100" s="2">
        <v>152.38999999999999</v>
      </c>
      <c r="F100" s="2">
        <v>149.25</v>
      </c>
      <c r="G100" s="3">
        <v>6419400</v>
      </c>
      <c r="I100">
        <f t="shared" si="1"/>
        <v>-2.9529496686133516E-3</v>
      </c>
    </row>
    <row r="101" spans="1:9" ht="18" x14ac:dyDescent="0.2">
      <c r="A101" s="1">
        <v>45943</v>
      </c>
      <c r="B101" s="2">
        <v>150</v>
      </c>
      <c r="C101" s="2">
        <v>151.97999999999999</v>
      </c>
      <c r="D101" s="2">
        <v>149.43</v>
      </c>
      <c r="E101" s="2">
        <v>151.94</v>
      </c>
      <c r="F101" s="2">
        <v>148.81</v>
      </c>
      <c r="G101" s="3">
        <v>5978800</v>
      </c>
      <c r="I101">
        <f t="shared" si="1"/>
        <v>-2.0007897854416166E-2</v>
      </c>
    </row>
    <row r="102" spans="1:9" ht="18" x14ac:dyDescent="0.2">
      <c r="A102" s="1">
        <v>45940</v>
      </c>
      <c r="B102" s="2">
        <v>150.69999999999999</v>
      </c>
      <c r="C102" s="2">
        <v>151.35</v>
      </c>
      <c r="D102" s="2">
        <v>148.88999999999999</v>
      </c>
      <c r="E102" s="2">
        <v>148.9</v>
      </c>
      <c r="F102" s="2">
        <v>145.83000000000001</v>
      </c>
      <c r="G102" s="3">
        <v>7796600</v>
      </c>
      <c r="I102">
        <f t="shared" si="1"/>
        <v>1.8401611820013302E-2</v>
      </c>
    </row>
    <row r="103" spans="1:9" ht="18" x14ac:dyDescent="0.2">
      <c r="A103" s="1">
        <v>45939</v>
      </c>
      <c r="B103" s="2">
        <v>154.13</v>
      </c>
      <c r="C103" s="2">
        <v>154.97</v>
      </c>
      <c r="D103" s="2">
        <v>151.56</v>
      </c>
      <c r="E103" s="2">
        <v>151.63999999999999</v>
      </c>
      <c r="F103" s="2">
        <v>148.51</v>
      </c>
      <c r="G103" s="3">
        <v>6178600</v>
      </c>
      <c r="I103">
        <f t="shared" si="1"/>
        <v>1.3848588762859555E-2</v>
      </c>
    </row>
    <row r="104" spans="1:9" ht="18" x14ac:dyDescent="0.2">
      <c r="A104" s="1">
        <v>45938</v>
      </c>
      <c r="B104" s="2">
        <v>154.36000000000001</v>
      </c>
      <c r="C104" s="2">
        <v>154.68</v>
      </c>
      <c r="D104" s="2">
        <v>152.84</v>
      </c>
      <c r="E104" s="2">
        <v>153.74</v>
      </c>
      <c r="F104" s="2">
        <v>150.57</v>
      </c>
      <c r="G104" s="3">
        <v>5678000</v>
      </c>
      <c r="I104">
        <f t="shared" si="1"/>
        <v>7.6102510732404538E-3</v>
      </c>
    </row>
    <row r="105" spans="1:9" ht="18" x14ac:dyDescent="0.2">
      <c r="A105" s="1">
        <v>45937</v>
      </c>
      <c r="B105" s="2">
        <v>153.65</v>
      </c>
      <c r="C105" s="2">
        <v>154.96</v>
      </c>
      <c r="D105" s="2">
        <v>151.28</v>
      </c>
      <c r="E105" s="2">
        <v>154.91</v>
      </c>
      <c r="F105" s="2">
        <v>151.71</v>
      </c>
      <c r="G105" s="3">
        <v>5479600</v>
      </c>
      <c r="I105">
        <f t="shared" si="1"/>
        <v>-5.7452714479374238E-3</v>
      </c>
    </row>
    <row r="106" spans="1:9" ht="18" x14ac:dyDescent="0.2">
      <c r="A106" s="1">
        <v>45936</v>
      </c>
      <c r="B106" s="2">
        <v>153.97</v>
      </c>
      <c r="C106" s="2">
        <v>154.65</v>
      </c>
      <c r="D106" s="2">
        <v>152.91999999999999</v>
      </c>
      <c r="E106" s="2">
        <v>154.02000000000001</v>
      </c>
      <c r="F106" s="2">
        <v>150.84</v>
      </c>
      <c r="G106" s="3">
        <v>4778900</v>
      </c>
      <c r="I106">
        <f t="shared" si="1"/>
        <v>-3.0515517465264175E-3</v>
      </c>
    </row>
    <row r="107" spans="1:9" ht="18" x14ac:dyDescent="0.2">
      <c r="A107" s="1">
        <v>45933</v>
      </c>
      <c r="B107" s="2">
        <v>153.58000000000001</v>
      </c>
      <c r="C107" s="2">
        <v>154.28</v>
      </c>
      <c r="D107" s="2">
        <v>152.22999999999999</v>
      </c>
      <c r="E107" s="2">
        <v>153.55000000000001</v>
      </c>
      <c r="F107" s="2">
        <v>150.38</v>
      </c>
      <c r="G107" s="3">
        <v>7249300</v>
      </c>
      <c r="I107">
        <f t="shared" si="1"/>
        <v>-1.1722565939433854E-3</v>
      </c>
    </row>
    <row r="108" spans="1:9" ht="18" x14ac:dyDescent="0.2">
      <c r="A108" s="1">
        <v>45932</v>
      </c>
      <c r="B108" s="2">
        <v>153.96</v>
      </c>
      <c r="C108" s="2">
        <v>156.6</v>
      </c>
      <c r="D108" s="2">
        <v>153.32</v>
      </c>
      <c r="E108" s="2">
        <v>153.37</v>
      </c>
      <c r="F108" s="2">
        <v>150.21</v>
      </c>
      <c r="G108" s="3">
        <v>7562400</v>
      </c>
      <c r="I108">
        <f t="shared" si="1"/>
        <v>7.8894177479298944E-3</v>
      </c>
    </row>
    <row r="109" spans="1:9" ht="18" x14ac:dyDescent="0.2">
      <c r="A109" s="1">
        <v>45931</v>
      </c>
      <c r="B109" s="2">
        <v>154.83000000000001</v>
      </c>
      <c r="C109" s="2">
        <v>155.09</v>
      </c>
      <c r="D109" s="2">
        <v>153.19</v>
      </c>
      <c r="E109" s="2">
        <v>154.58000000000001</v>
      </c>
      <c r="F109" s="2">
        <v>151.38999999999999</v>
      </c>
      <c r="G109" s="3">
        <v>6768400</v>
      </c>
      <c r="I109">
        <f t="shared" si="1"/>
        <v>4.593090956139083E-3</v>
      </c>
    </row>
    <row r="110" spans="1:9" ht="18" x14ac:dyDescent="0.2">
      <c r="A110" s="1">
        <v>45930</v>
      </c>
      <c r="B110" s="2">
        <v>154.88999999999999</v>
      </c>
      <c r="C110" s="2">
        <v>155.72999999999999</v>
      </c>
      <c r="D110" s="2">
        <v>153.93</v>
      </c>
      <c r="E110" s="2">
        <v>155.29</v>
      </c>
      <c r="F110" s="2">
        <v>152.09</v>
      </c>
      <c r="G110" s="3">
        <v>7755700</v>
      </c>
      <c r="I110">
        <f t="shared" si="1"/>
        <v>5.2160473951960995E-3</v>
      </c>
    </row>
    <row r="111" spans="1:9" ht="18" x14ac:dyDescent="0.2">
      <c r="A111" s="1">
        <v>45929</v>
      </c>
      <c r="B111" s="2">
        <v>159.13</v>
      </c>
      <c r="C111" s="2">
        <v>159.13</v>
      </c>
      <c r="D111" s="2">
        <v>155.56</v>
      </c>
      <c r="E111" s="2">
        <v>156.1</v>
      </c>
      <c r="F111" s="2">
        <v>152.88</v>
      </c>
      <c r="G111" s="3">
        <v>8315100</v>
      </c>
      <c r="I111">
        <f t="shared" si="1"/>
        <v>2.6008968609865485E-2</v>
      </c>
    </row>
    <row r="112" spans="1:9" ht="18" x14ac:dyDescent="0.2">
      <c r="A112" s="1">
        <v>45926</v>
      </c>
      <c r="B112" s="2">
        <v>160.57</v>
      </c>
      <c r="C112" s="2">
        <v>161.30000000000001</v>
      </c>
      <c r="D112" s="2">
        <v>159.51</v>
      </c>
      <c r="E112" s="2">
        <v>160.16</v>
      </c>
      <c r="F112" s="2">
        <v>156.86000000000001</v>
      </c>
      <c r="G112" s="3">
        <v>7015200</v>
      </c>
      <c r="I112">
        <f t="shared" si="1"/>
        <v>3.4965034965035108E-3</v>
      </c>
    </row>
    <row r="113" spans="1:9" ht="18" x14ac:dyDescent="0.2">
      <c r="A113" s="1">
        <v>45925</v>
      </c>
      <c r="B113" s="2">
        <v>159.44</v>
      </c>
      <c r="C113" s="2">
        <v>161.01</v>
      </c>
      <c r="D113" s="2">
        <v>159.35</v>
      </c>
      <c r="E113" s="2">
        <v>160.72</v>
      </c>
      <c r="F113" s="2">
        <v>157.41</v>
      </c>
      <c r="G113" s="3">
        <v>6311000</v>
      </c>
      <c r="I113">
        <f t="shared" si="1"/>
        <v>-9.5818815331009961E-3</v>
      </c>
    </row>
    <row r="114" spans="1:9" ht="18" x14ac:dyDescent="0.2">
      <c r="A114" s="1">
        <v>45924</v>
      </c>
      <c r="B114" s="2">
        <v>158.32</v>
      </c>
      <c r="C114" s="2">
        <v>160.49</v>
      </c>
      <c r="D114" s="2">
        <v>158.25</v>
      </c>
      <c r="E114" s="2">
        <v>159.18</v>
      </c>
      <c r="F114" s="2">
        <v>155.9</v>
      </c>
      <c r="G114" s="3">
        <v>6285200</v>
      </c>
      <c r="I114">
        <f t="shared" si="1"/>
        <v>-1.1056665410227536E-2</v>
      </c>
    </row>
    <row r="115" spans="1:9" ht="18" x14ac:dyDescent="0.2">
      <c r="A115" s="1">
        <v>45923</v>
      </c>
      <c r="B115" s="2">
        <v>157.12</v>
      </c>
      <c r="C115" s="2">
        <v>159.83000000000001</v>
      </c>
      <c r="D115" s="2">
        <v>156.99</v>
      </c>
      <c r="E115" s="2">
        <v>157.41999999999999</v>
      </c>
      <c r="F115" s="2">
        <v>154.16999999999999</v>
      </c>
      <c r="G115" s="3">
        <v>7181400</v>
      </c>
      <c r="I115">
        <f t="shared" si="1"/>
        <v>-8.7028331851097453E-3</v>
      </c>
    </row>
    <row r="116" spans="1:9" ht="18" x14ac:dyDescent="0.2">
      <c r="A116" s="1">
        <v>45922</v>
      </c>
      <c r="B116" s="2">
        <v>155.62</v>
      </c>
      <c r="C116" s="2">
        <v>157.12</v>
      </c>
      <c r="D116" s="2">
        <v>155.15</v>
      </c>
      <c r="E116" s="2">
        <v>156.05000000000001</v>
      </c>
      <c r="F116" s="2">
        <v>152.83000000000001</v>
      </c>
      <c r="G116" s="3">
        <v>5244000</v>
      </c>
      <c r="I116">
        <f t="shared" si="1"/>
        <v>1.0253123998718141E-3</v>
      </c>
    </row>
    <row r="117" spans="1:9" ht="18" x14ac:dyDescent="0.2">
      <c r="A117" s="1">
        <v>45919</v>
      </c>
      <c r="B117" s="2">
        <v>159</v>
      </c>
      <c r="C117" s="2">
        <v>159</v>
      </c>
      <c r="D117" s="2">
        <v>155.55000000000001</v>
      </c>
      <c r="E117" s="2">
        <v>156.21</v>
      </c>
      <c r="F117" s="2">
        <v>152.99</v>
      </c>
      <c r="G117" s="3">
        <v>16734000</v>
      </c>
      <c r="I117">
        <f t="shared" si="1"/>
        <v>1.6836310095384388E-2</v>
      </c>
    </row>
    <row r="118" spans="1:9" ht="18" x14ac:dyDescent="0.2">
      <c r="A118" s="1">
        <v>45918</v>
      </c>
      <c r="B118" s="2">
        <v>160.03</v>
      </c>
      <c r="C118" s="2">
        <v>160.29</v>
      </c>
      <c r="D118" s="2">
        <v>158.09</v>
      </c>
      <c r="E118" s="2">
        <v>158.84</v>
      </c>
      <c r="F118" s="2">
        <v>155.56</v>
      </c>
      <c r="G118" s="3">
        <v>6244200</v>
      </c>
      <c r="I118">
        <f t="shared" si="1"/>
        <v>7.8695542684462348E-3</v>
      </c>
    </row>
    <row r="119" spans="1:9" ht="18" x14ac:dyDescent="0.2">
      <c r="A119" s="1">
        <v>45917</v>
      </c>
      <c r="B119" s="2">
        <v>159.19999999999999</v>
      </c>
      <c r="C119" s="2">
        <v>160.66999999999999</v>
      </c>
      <c r="D119" s="2">
        <v>158.61000000000001</v>
      </c>
      <c r="E119" s="2">
        <v>160.09</v>
      </c>
      <c r="F119" s="2">
        <v>156.79</v>
      </c>
      <c r="G119" s="3">
        <v>5736800</v>
      </c>
      <c r="I119">
        <f t="shared" si="1"/>
        <v>-3.4355674932850981E-3</v>
      </c>
    </row>
    <row r="120" spans="1:9" ht="18" x14ac:dyDescent="0.2">
      <c r="A120" s="1">
        <v>45916</v>
      </c>
      <c r="B120" s="2">
        <v>158.25</v>
      </c>
      <c r="C120" s="2">
        <v>160.1</v>
      </c>
      <c r="D120" s="2">
        <v>158.12</v>
      </c>
      <c r="E120" s="2">
        <v>159.54</v>
      </c>
      <c r="F120" s="2">
        <v>156.25</v>
      </c>
      <c r="G120" s="3">
        <v>8011000</v>
      </c>
      <c r="I120">
        <f t="shared" si="1"/>
        <v>-1.3977685846809513E-2</v>
      </c>
    </row>
    <row r="121" spans="1:9" ht="18" x14ac:dyDescent="0.2">
      <c r="A121" s="1">
        <v>45915</v>
      </c>
      <c r="B121" s="2">
        <v>157.38</v>
      </c>
      <c r="C121" s="2">
        <v>158.32</v>
      </c>
      <c r="D121" s="2">
        <v>156.5</v>
      </c>
      <c r="E121" s="2">
        <v>157.31</v>
      </c>
      <c r="F121" s="2">
        <v>154.07</v>
      </c>
      <c r="G121" s="3">
        <v>5030500</v>
      </c>
      <c r="I121">
        <f t="shared" si="1"/>
        <v>-1.2713749920538341E-3</v>
      </c>
    </row>
    <row r="122" spans="1:9" ht="18" x14ac:dyDescent="0.2">
      <c r="A122" s="1">
        <v>45912</v>
      </c>
      <c r="B122" s="2">
        <v>158.85</v>
      </c>
      <c r="C122" s="2">
        <v>159.78</v>
      </c>
      <c r="D122" s="2">
        <v>157.1</v>
      </c>
      <c r="E122" s="2">
        <v>157.11000000000001</v>
      </c>
      <c r="F122" s="2">
        <v>153.87</v>
      </c>
      <c r="G122" s="3">
        <v>5546300</v>
      </c>
      <c r="I122">
        <f t="shared" si="1"/>
        <v>7.2560626312773617E-3</v>
      </c>
    </row>
    <row r="123" spans="1:9" ht="18" x14ac:dyDescent="0.2">
      <c r="A123" s="1">
        <v>45911</v>
      </c>
      <c r="B123" s="2">
        <v>156.5</v>
      </c>
      <c r="C123" s="2">
        <v>158.91999999999999</v>
      </c>
      <c r="D123" s="2">
        <v>156.01</v>
      </c>
      <c r="E123" s="2">
        <v>158.25</v>
      </c>
      <c r="F123" s="2">
        <v>154.99</v>
      </c>
      <c r="G123" s="3">
        <v>6417400</v>
      </c>
      <c r="I123">
        <f t="shared" si="1"/>
        <v>-2.906793048973194E-3</v>
      </c>
    </row>
    <row r="124" spans="1:9" ht="18" x14ac:dyDescent="0.2">
      <c r="A124" s="1">
        <v>45910</v>
      </c>
      <c r="B124" s="2">
        <v>155.05000000000001</v>
      </c>
      <c r="C124" s="2">
        <v>157.91999999999999</v>
      </c>
      <c r="D124" s="2">
        <v>155</v>
      </c>
      <c r="E124" s="2">
        <v>157.79</v>
      </c>
      <c r="F124" s="2">
        <v>154.54</v>
      </c>
      <c r="G124" s="3">
        <v>7440800</v>
      </c>
      <c r="I124">
        <f t="shared" si="1"/>
        <v>-1.8632359465111843E-2</v>
      </c>
    </row>
    <row r="125" spans="1:9" ht="18" x14ac:dyDescent="0.2">
      <c r="A125" s="1">
        <v>45909</v>
      </c>
      <c r="B125" s="2">
        <v>154.91</v>
      </c>
      <c r="C125" s="2">
        <v>156.99</v>
      </c>
      <c r="D125" s="2">
        <v>154.6</v>
      </c>
      <c r="E125" s="2">
        <v>154.85</v>
      </c>
      <c r="F125" s="2">
        <v>151.66</v>
      </c>
      <c r="G125" s="3">
        <v>7769200</v>
      </c>
      <c r="I125">
        <f t="shared" si="1"/>
        <v>-5.4891830804003512E-3</v>
      </c>
    </row>
    <row r="126" spans="1:9" ht="18" x14ac:dyDescent="0.2">
      <c r="A126" s="1">
        <v>45908</v>
      </c>
      <c r="B126" s="2">
        <v>153.91</v>
      </c>
      <c r="C126" s="2">
        <v>155.03</v>
      </c>
      <c r="D126" s="2">
        <v>152.88</v>
      </c>
      <c r="E126" s="2">
        <v>154</v>
      </c>
      <c r="F126" s="2">
        <v>150.82</v>
      </c>
      <c r="G126" s="3">
        <v>9462000</v>
      </c>
      <c r="I126">
        <f t="shared" si="1"/>
        <v>-2.2077922077922301E-3</v>
      </c>
    </row>
    <row r="127" spans="1:9" ht="18" x14ac:dyDescent="0.2">
      <c r="A127" s="1">
        <v>45905</v>
      </c>
      <c r="B127" s="2">
        <v>156.06</v>
      </c>
      <c r="C127" s="2">
        <v>156.72</v>
      </c>
      <c r="D127" s="2">
        <v>153.49</v>
      </c>
      <c r="E127" s="2">
        <v>153.66</v>
      </c>
      <c r="F127" s="2">
        <v>150.49</v>
      </c>
      <c r="G127" s="3">
        <v>11011700</v>
      </c>
      <c r="I127">
        <f t="shared" si="1"/>
        <v>2.6226734348561768E-2</v>
      </c>
    </row>
    <row r="128" spans="1:9" ht="18" x14ac:dyDescent="0.2">
      <c r="A128" s="1">
        <v>45904</v>
      </c>
      <c r="B128" s="2">
        <v>158.06</v>
      </c>
      <c r="C128" s="2">
        <v>159.65</v>
      </c>
      <c r="D128" s="2">
        <v>157.5</v>
      </c>
      <c r="E128" s="2">
        <v>157.69</v>
      </c>
      <c r="F128" s="2">
        <v>154.44</v>
      </c>
      <c r="G128" s="3">
        <v>7243000</v>
      </c>
      <c r="I128">
        <f t="shared" si="1"/>
        <v>2.3463758006215013E-3</v>
      </c>
    </row>
    <row r="129" spans="1:9" ht="18" x14ac:dyDescent="0.2">
      <c r="A129" s="1">
        <v>45903</v>
      </c>
      <c r="B129" s="2">
        <v>160</v>
      </c>
      <c r="C129" s="2">
        <v>161.85</v>
      </c>
      <c r="D129" s="2">
        <v>157.02000000000001</v>
      </c>
      <c r="E129" s="2">
        <v>158.06</v>
      </c>
      <c r="F129" s="2">
        <v>154.80000000000001</v>
      </c>
      <c r="G129" s="3">
        <v>9556100</v>
      </c>
      <c r="I129">
        <f t="shared" ref="I129:I191" si="2">(E130-E129)/E129</f>
        <v>2.3851701885360056E-2</v>
      </c>
    </row>
    <row r="130" spans="1:9" ht="18" x14ac:dyDescent="0.2">
      <c r="A130" s="1">
        <v>45902</v>
      </c>
      <c r="B130" s="2">
        <v>160.47999999999999</v>
      </c>
      <c r="C130" s="2">
        <v>161.86000000000001</v>
      </c>
      <c r="D130" s="2">
        <v>159.38</v>
      </c>
      <c r="E130" s="2">
        <v>161.83000000000001</v>
      </c>
      <c r="F130" s="2">
        <v>158.49</v>
      </c>
      <c r="G130" s="3">
        <v>8947300</v>
      </c>
      <c r="I130">
        <f t="shared" si="2"/>
        <v>-7.6005684978064517E-3</v>
      </c>
    </row>
    <row r="131" spans="1:9" ht="18" x14ac:dyDescent="0.2">
      <c r="A131" s="1">
        <v>45898</v>
      </c>
      <c r="B131" s="2">
        <v>159.69999999999999</v>
      </c>
      <c r="C131" s="2">
        <v>161.1</v>
      </c>
      <c r="D131" s="2">
        <v>159.44999999999999</v>
      </c>
      <c r="E131" s="2">
        <v>160.6</v>
      </c>
      <c r="F131" s="2">
        <v>157.29</v>
      </c>
      <c r="G131" s="3">
        <v>6934800</v>
      </c>
      <c r="I131">
        <f t="shared" si="2"/>
        <v>-7.9701120797011273E-3</v>
      </c>
    </row>
    <row r="132" spans="1:9" ht="18" x14ac:dyDescent="0.2">
      <c r="A132" s="1">
        <v>45897</v>
      </c>
      <c r="B132" s="2">
        <v>159.01</v>
      </c>
      <c r="C132" s="2">
        <v>159.52000000000001</v>
      </c>
      <c r="D132" s="2">
        <v>157.85</v>
      </c>
      <c r="E132" s="2">
        <v>159.32</v>
      </c>
      <c r="F132" s="2">
        <v>156.03</v>
      </c>
      <c r="G132" s="3">
        <v>6502000</v>
      </c>
      <c r="I132">
        <f t="shared" si="2"/>
        <v>-5.0213406979653585E-4</v>
      </c>
    </row>
    <row r="133" spans="1:9" ht="18" x14ac:dyDescent="0.2">
      <c r="A133" s="1">
        <v>45896</v>
      </c>
      <c r="B133" s="2">
        <v>157.4</v>
      </c>
      <c r="C133" s="2">
        <v>159.99</v>
      </c>
      <c r="D133" s="2">
        <v>157.21</v>
      </c>
      <c r="E133" s="2">
        <v>159.24</v>
      </c>
      <c r="F133" s="2">
        <v>155.96</v>
      </c>
      <c r="G133" s="3">
        <v>7483000</v>
      </c>
      <c r="I133">
        <f t="shared" si="2"/>
        <v>-1.1806078874654581E-2</v>
      </c>
    </row>
    <row r="134" spans="1:9" ht="18" x14ac:dyDescent="0.2">
      <c r="A134" s="1">
        <v>45895</v>
      </c>
      <c r="B134" s="2">
        <v>157.51</v>
      </c>
      <c r="C134" s="2">
        <v>160</v>
      </c>
      <c r="D134" s="2">
        <v>156.55000000000001</v>
      </c>
      <c r="E134" s="2">
        <v>157.36000000000001</v>
      </c>
      <c r="F134" s="2">
        <v>154.11000000000001</v>
      </c>
      <c r="G134" s="3">
        <v>10270000</v>
      </c>
      <c r="I134">
        <f t="shared" si="2"/>
        <v>5.3380782918147872E-3</v>
      </c>
    </row>
    <row r="135" spans="1:9" ht="18" x14ac:dyDescent="0.2">
      <c r="A135" s="1">
        <v>45894</v>
      </c>
      <c r="B135" s="2">
        <v>157.9</v>
      </c>
      <c r="C135" s="2">
        <v>158.32</v>
      </c>
      <c r="D135" s="2">
        <v>157.16999999999999</v>
      </c>
      <c r="E135" s="2">
        <v>158.19999999999999</v>
      </c>
      <c r="F135" s="2">
        <v>154.94</v>
      </c>
      <c r="G135" s="3">
        <v>7030000</v>
      </c>
      <c r="I135">
        <f t="shared" si="2"/>
        <v>-1.2642225031594067E-4</v>
      </c>
    </row>
    <row r="136" spans="1:9" ht="18" x14ac:dyDescent="0.2">
      <c r="A136" s="1">
        <v>45891</v>
      </c>
      <c r="B136" s="2">
        <v>155.32</v>
      </c>
      <c r="C136" s="2">
        <v>158.79</v>
      </c>
      <c r="D136" s="2">
        <v>155.32</v>
      </c>
      <c r="E136" s="2">
        <v>158.18</v>
      </c>
      <c r="F136" s="2">
        <v>154.91999999999999</v>
      </c>
      <c r="G136" s="3">
        <v>9084300</v>
      </c>
      <c r="I136">
        <f t="shared" si="2"/>
        <v>-1.6626627892274596E-2</v>
      </c>
    </row>
    <row r="137" spans="1:9" ht="18" x14ac:dyDescent="0.2">
      <c r="A137" s="1">
        <v>45890</v>
      </c>
      <c r="B137" s="2">
        <v>152.82</v>
      </c>
      <c r="C137" s="2">
        <v>155.66999999999999</v>
      </c>
      <c r="D137" s="2">
        <v>152.72999999999999</v>
      </c>
      <c r="E137" s="2">
        <v>155.55000000000001</v>
      </c>
      <c r="F137" s="2">
        <v>152.34</v>
      </c>
      <c r="G137" s="3">
        <v>7533600</v>
      </c>
      <c r="I137">
        <f t="shared" si="2"/>
        <v>-1.4979106396657102E-2</v>
      </c>
    </row>
    <row r="138" spans="1:9" ht="18" x14ac:dyDescent="0.2">
      <c r="A138" s="1">
        <v>45889</v>
      </c>
      <c r="B138" s="2">
        <v>152.41999999999999</v>
      </c>
      <c r="C138" s="2">
        <v>153.49</v>
      </c>
      <c r="D138" s="2">
        <v>151.93</v>
      </c>
      <c r="E138" s="2">
        <v>153.22</v>
      </c>
      <c r="F138" s="2">
        <v>150.06</v>
      </c>
      <c r="G138" s="3">
        <v>8076300</v>
      </c>
      <c r="I138">
        <f>(E139-E138)/E138</f>
        <v>-7.9624069964756485E-3</v>
      </c>
    </row>
    <row r="139" spans="1:9" ht="18" x14ac:dyDescent="0.2">
      <c r="A139" s="1">
        <v>45888</v>
      </c>
      <c r="B139" s="2">
        <v>153.46</v>
      </c>
      <c r="C139" s="2">
        <v>153.94</v>
      </c>
      <c r="D139" s="2">
        <v>151.85</v>
      </c>
      <c r="E139" s="2">
        <v>152</v>
      </c>
      <c r="F139" s="2">
        <v>148.86000000000001</v>
      </c>
      <c r="G139" s="3">
        <v>8567500</v>
      </c>
      <c r="I139">
        <f t="shared" si="2"/>
        <v>2.184210526315785E-2</v>
      </c>
    </row>
    <row r="140" spans="1:9" ht="18" x14ac:dyDescent="0.2">
      <c r="A140" s="1">
        <v>45887</v>
      </c>
      <c r="B140" s="2">
        <v>156.13</v>
      </c>
      <c r="C140" s="2">
        <v>156.49</v>
      </c>
      <c r="D140" s="2">
        <v>154.75</v>
      </c>
      <c r="E140" s="2">
        <v>155.32</v>
      </c>
      <c r="F140" s="2">
        <v>150.44</v>
      </c>
      <c r="G140" s="3">
        <v>8174300</v>
      </c>
      <c r="I140">
        <f t="shared" si="2"/>
        <v>7.9191346896730509E-3</v>
      </c>
    </row>
    <row r="141" spans="1:9" ht="18" x14ac:dyDescent="0.2">
      <c r="A141" s="1">
        <v>45884</v>
      </c>
      <c r="B141" s="2">
        <v>155.47999999999999</v>
      </c>
      <c r="C141" s="2">
        <v>158.54</v>
      </c>
      <c r="D141" s="2">
        <v>155.29</v>
      </c>
      <c r="E141" s="2">
        <v>156.55000000000001</v>
      </c>
      <c r="F141" s="2">
        <v>151.63</v>
      </c>
      <c r="G141" s="3">
        <v>11617000</v>
      </c>
      <c r="I141">
        <f t="shared" si="2"/>
        <v>-8.8789524113702632E-3</v>
      </c>
    </row>
    <row r="142" spans="1:9" ht="18" x14ac:dyDescent="0.2">
      <c r="A142" s="1">
        <v>45883</v>
      </c>
      <c r="B142" s="2">
        <v>155.69999999999999</v>
      </c>
      <c r="C142" s="2">
        <v>155.69999999999999</v>
      </c>
      <c r="D142" s="2">
        <v>154.1</v>
      </c>
      <c r="E142" s="2">
        <v>155.16</v>
      </c>
      <c r="F142" s="2">
        <v>150.29</v>
      </c>
      <c r="G142" s="3">
        <v>7337300</v>
      </c>
      <c r="I142">
        <f t="shared" si="2"/>
        <v>4.5759216292859499E-3</v>
      </c>
    </row>
    <row r="143" spans="1:9" ht="18" x14ac:dyDescent="0.2">
      <c r="A143" s="1">
        <v>45882</v>
      </c>
      <c r="B143" s="2">
        <v>154.57</v>
      </c>
      <c r="C143" s="2">
        <v>156.01</v>
      </c>
      <c r="D143" s="2">
        <v>154.19999999999999</v>
      </c>
      <c r="E143" s="2">
        <v>155.87</v>
      </c>
      <c r="F143" s="2">
        <v>150.97</v>
      </c>
      <c r="G143" s="3">
        <v>6581900</v>
      </c>
      <c r="I143">
        <f t="shared" si="2"/>
        <v>-9.1743119266055485E-3</v>
      </c>
    </row>
    <row r="144" spans="1:9" ht="18" x14ac:dyDescent="0.2">
      <c r="A144" s="1">
        <v>45881</v>
      </c>
      <c r="B144" s="2">
        <v>154.09</v>
      </c>
      <c r="C144" s="2">
        <v>156.05000000000001</v>
      </c>
      <c r="D144" s="2">
        <v>153.36000000000001</v>
      </c>
      <c r="E144" s="2">
        <v>154.44</v>
      </c>
      <c r="F144" s="2">
        <v>149.59</v>
      </c>
      <c r="G144" s="3">
        <v>6641600</v>
      </c>
      <c r="I144">
        <f t="shared" si="2"/>
        <v>-6.410256410256469E-3</v>
      </c>
    </row>
    <row r="145" spans="1:9" ht="18" x14ac:dyDescent="0.2">
      <c r="A145" s="1">
        <v>45880</v>
      </c>
      <c r="B145" s="2">
        <v>155.34</v>
      </c>
      <c r="C145" s="2">
        <v>155.93</v>
      </c>
      <c r="D145" s="2">
        <v>152.99</v>
      </c>
      <c r="E145" s="2">
        <v>153.44999999999999</v>
      </c>
      <c r="F145" s="2">
        <v>148.63</v>
      </c>
      <c r="G145" s="3">
        <v>6169700</v>
      </c>
      <c r="I145">
        <f t="shared" si="2"/>
        <v>1.0166177908113408E-2</v>
      </c>
    </row>
    <row r="146" spans="1:9" ht="18" x14ac:dyDescent="0.2">
      <c r="A146" s="1">
        <v>45877</v>
      </c>
      <c r="B146" s="2">
        <v>153.99</v>
      </c>
      <c r="C146" s="2">
        <v>155.75</v>
      </c>
      <c r="D146" s="2">
        <v>153.5</v>
      </c>
      <c r="E146" s="2">
        <v>155.01</v>
      </c>
      <c r="F146" s="2">
        <v>150.13999999999999</v>
      </c>
      <c r="G146" s="3">
        <v>6332800</v>
      </c>
      <c r="I146">
        <f t="shared" si="2"/>
        <v>-1.1934713889426452E-2</v>
      </c>
    </row>
    <row r="147" spans="1:9" ht="18" x14ac:dyDescent="0.2">
      <c r="A147" s="1">
        <v>45876</v>
      </c>
      <c r="B147" s="2">
        <v>153.79</v>
      </c>
      <c r="C147" s="2">
        <v>155.15</v>
      </c>
      <c r="D147" s="2">
        <v>152.83000000000001</v>
      </c>
      <c r="E147" s="2">
        <v>153.16</v>
      </c>
      <c r="F147" s="2">
        <v>148.35</v>
      </c>
      <c r="G147" s="3">
        <v>6510400</v>
      </c>
      <c r="I147">
        <f t="shared" si="2"/>
        <v>-2.4810655523635119E-3</v>
      </c>
    </row>
    <row r="148" spans="1:9" ht="18" x14ac:dyDescent="0.2">
      <c r="A148" s="1">
        <v>45875</v>
      </c>
      <c r="B148" s="2">
        <v>154.47999999999999</v>
      </c>
      <c r="C148" s="2">
        <v>155.16</v>
      </c>
      <c r="D148" s="2">
        <v>152.22</v>
      </c>
      <c r="E148" s="2">
        <v>152.78</v>
      </c>
      <c r="F148" s="2">
        <v>147.97999999999999</v>
      </c>
      <c r="G148" s="3">
        <v>7840900</v>
      </c>
      <c r="I148">
        <f t="shared" si="2"/>
        <v>1.701793428459163E-3</v>
      </c>
    </row>
    <row r="149" spans="1:9" ht="18" x14ac:dyDescent="0.2">
      <c r="A149" s="1">
        <v>45874</v>
      </c>
      <c r="B149" s="2">
        <v>151.03</v>
      </c>
      <c r="C149" s="2">
        <v>153.1</v>
      </c>
      <c r="D149" s="2">
        <v>149.9</v>
      </c>
      <c r="E149" s="2">
        <v>153.04</v>
      </c>
      <c r="F149" s="2">
        <v>148.22999999999999</v>
      </c>
      <c r="G149" s="3">
        <v>8604100</v>
      </c>
      <c r="I149">
        <f t="shared" si="2"/>
        <v>-1.3068478829064298E-2</v>
      </c>
    </row>
    <row r="150" spans="1:9" ht="18" x14ac:dyDescent="0.2">
      <c r="A150" s="1">
        <v>45873</v>
      </c>
      <c r="B150" s="2">
        <v>151.25</v>
      </c>
      <c r="C150" s="2">
        <v>152.08000000000001</v>
      </c>
      <c r="D150" s="2">
        <v>149.82</v>
      </c>
      <c r="E150" s="2">
        <v>151.04</v>
      </c>
      <c r="F150" s="2">
        <v>146.30000000000001</v>
      </c>
      <c r="G150" s="3">
        <v>10116600</v>
      </c>
      <c r="I150">
        <f t="shared" si="2"/>
        <v>2.3834745762712768E-3</v>
      </c>
    </row>
    <row r="151" spans="1:9" ht="18" x14ac:dyDescent="0.2">
      <c r="A151" s="1">
        <v>45870</v>
      </c>
      <c r="B151" s="2">
        <v>152.54</v>
      </c>
      <c r="C151" s="2">
        <v>154.65</v>
      </c>
      <c r="D151" s="2">
        <v>150.35</v>
      </c>
      <c r="E151" s="2">
        <v>151.4</v>
      </c>
      <c r="F151" s="2">
        <v>146.63999999999999</v>
      </c>
      <c r="G151" s="3">
        <v>10706500</v>
      </c>
      <c r="I151">
        <f t="shared" si="2"/>
        <v>1.5852047556141392E-3</v>
      </c>
    </row>
    <row r="152" spans="1:9" ht="18" x14ac:dyDescent="0.2">
      <c r="A152" s="1">
        <v>45869</v>
      </c>
      <c r="B152" s="2">
        <v>152</v>
      </c>
      <c r="C152" s="2">
        <v>153.93</v>
      </c>
      <c r="D152" s="2">
        <v>151.13999999999999</v>
      </c>
      <c r="E152" s="2">
        <v>151.63999999999999</v>
      </c>
      <c r="F152" s="2">
        <v>146.88</v>
      </c>
      <c r="G152" s="3">
        <v>10237100</v>
      </c>
      <c r="I152">
        <f t="shared" si="2"/>
        <v>1.2661566868900133E-2</v>
      </c>
    </row>
    <row r="153" spans="1:9" ht="18" x14ac:dyDescent="0.2">
      <c r="A153" s="1">
        <v>45868</v>
      </c>
      <c r="B153" s="2">
        <v>156.13999999999999</v>
      </c>
      <c r="C153" s="2">
        <v>156.31</v>
      </c>
      <c r="D153" s="2">
        <v>152.69999999999999</v>
      </c>
      <c r="E153" s="2">
        <v>153.56</v>
      </c>
      <c r="F153" s="2">
        <v>148.74</v>
      </c>
      <c r="G153" s="3">
        <v>9191700</v>
      </c>
      <c r="I153">
        <f t="shared" si="2"/>
        <v>2.2597030476686628E-2</v>
      </c>
    </row>
    <row r="154" spans="1:9" ht="18" x14ac:dyDescent="0.2">
      <c r="A154" s="1">
        <v>45867</v>
      </c>
      <c r="B154" s="2">
        <v>156.68</v>
      </c>
      <c r="C154" s="2">
        <v>157.21</v>
      </c>
      <c r="D154" s="2">
        <v>155.44999999999999</v>
      </c>
      <c r="E154" s="2">
        <v>157.03</v>
      </c>
      <c r="F154" s="2">
        <v>152.1</v>
      </c>
      <c r="G154" s="3">
        <v>6446000</v>
      </c>
      <c r="I154">
        <f t="shared" si="2"/>
        <v>-4.7761574221486343E-3</v>
      </c>
    </row>
    <row r="155" spans="1:9" ht="18" x14ac:dyDescent="0.2">
      <c r="A155" s="1">
        <v>45866</v>
      </c>
      <c r="B155" s="2">
        <v>155.4</v>
      </c>
      <c r="C155" s="2">
        <v>156.55000000000001</v>
      </c>
      <c r="D155" s="2">
        <v>154.94999999999999</v>
      </c>
      <c r="E155" s="2">
        <v>156.28</v>
      </c>
      <c r="F155" s="2">
        <v>151.37</v>
      </c>
      <c r="G155" s="3">
        <v>8755400</v>
      </c>
      <c r="I155">
        <f t="shared" si="2"/>
        <v>-9.2142308676733918E-3</v>
      </c>
    </row>
    <row r="156" spans="1:9" ht="18" x14ac:dyDescent="0.2">
      <c r="A156" s="1">
        <v>45863</v>
      </c>
      <c r="B156" s="2">
        <v>155.83000000000001</v>
      </c>
      <c r="C156" s="2">
        <v>156.19999999999999</v>
      </c>
      <c r="D156" s="2">
        <v>153.96</v>
      </c>
      <c r="E156" s="2">
        <v>154.84</v>
      </c>
      <c r="F156" s="2">
        <v>149.97999999999999</v>
      </c>
      <c r="G156" s="3">
        <v>7875500</v>
      </c>
      <c r="I156">
        <f t="shared" si="2"/>
        <v>6.3936967191940653E-3</v>
      </c>
    </row>
    <row r="157" spans="1:9" ht="18" x14ac:dyDescent="0.2">
      <c r="A157" s="1">
        <v>45862</v>
      </c>
      <c r="B157" s="2">
        <v>152.69</v>
      </c>
      <c r="C157" s="2">
        <v>156</v>
      </c>
      <c r="D157" s="2">
        <v>152.19999999999999</v>
      </c>
      <c r="E157" s="2">
        <v>155.83000000000001</v>
      </c>
      <c r="F157" s="2">
        <v>150.94</v>
      </c>
      <c r="G157" s="3">
        <v>15701000</v>
      </c>
      <c r="I157">
        <f t="shared" si="2"/>
        <v>-1.7390746326124671E-2</v>
      </c>
    </row>
    <row r="158" spans="1:9" ht="18" x14ac:dyDescent="0.2">
      <c r="A158" s="1">
        <v>45861</v>
      </c>
      <c r="B158" s="2">
        <v>150.91</v>
      </c>
      <c r="C158" s="2">
        <v>153.13999999999999</v>
      </c>
      <c r="D158" s="2">
        <v>150.47</v>
      </c>
      <c r="E158" s="2">
        <v>153.12</v>
      </c>
      <c r="F158" s="2">
        <v>148.31</v>
      </c>
      <c r="G158" s="3">
        <v>13162800</v>
      </c>
      <c r="I158">
        <f t="shared" si="2"/>
        <v>-2.0114942528735712E-2</v>
      </c>
    </row>
    <row r="159" spans="1:9" ht="18" x14ac:dyDescent="0.2">
      <c r="A159" s="1">
        <v>45860</v>
      </c>
      <c r="B159" s="2">
        <v>149.26</v>
      </c>
      <c r="C159" s="2">
        <v>150.94</v>
      </c>
      <c r="D159" s="2">
        <v>148.47999999999999</v>
      </c>
      <c r="E159" s="2">
        <v>150.04</v>
      </c>
      <c r="F159" s="2">
        <v>145.33000000000001</v>
      </c>
      <c r="G159" s="3">
        <v>26196500</v>
      </c>
      <c r="I159">
        <f t="shared" si="2"/>
        <v>-2.3993601706210695E-3</v>
      </c>
    </row>
    <row r="160" spans="1:9" ht="18" x14ac:dyDescent="0.2">
      <c r="A160" s="1">
        <v>45859</v>
      </c>
      <c r="B160" s="2">
        <v>151.19999999999999</v>
      </c>
      <c r="C160" s="2">
        <v>151.66999999999999</v>
      </c>
      <c r="D160" s="2">
        <v>149.13</v>
      </c>
      <c r="E160" s="2">
        <v>149.68</v>
      </c>
      <c r="F160" s="2">
        <v>144.97999999999999</v>
      </c>
      <c r="G160" s="3">
        <v>17982200</v>
      </c>
      <c r="I160">
        <f t="shared" si="2"/>
        <v>2.4051309460180735E-3</v>
      </c>
    </row>
    <row r="161" spans="1:9" ht="18" x14ac:dyDescent="0.2">
      <c r="A161" s="1">
        <v>45856</v>
      </c>
      <c r="B161" s="2">
        <v>155.02000000000001</v>
      </c>
      <c r="C161" s="2">
        <v>155.91</v>
      </c>
      <c r="D161" s="2">
        <v>146.53</v>
      </c>
      <c r="E161" s="2">
        <v>150.04</v>
      </c>
      <c r="F161" s="2">
        <v>145.33000000000001</v>
      </c>
      <c r="G161" s="3">
        <v>45782600</v>
      </c>
      <c r="I161">
        <f t="shared" si="2"/>
        <v>8.9309517462010362E-3</v>
      </c>
    </row>
    <row r="162" spans="1:9" ht="18" x14ac:dyDescent="0.2">
      <c r="A162" s="1">
        <v>45855</v>
      </c>
      <c r="B162" s="2">
        <v>149.16</v>
      </c>
      <c r="C162" s="2">
        <v>151.84</v>
      </c>
      <c r="D162" s="2">
        <v>148.6</v>
      </c>
      <c r="E162" s="2">
        <v>151.38</v>
      </c>
      <c r="F162" s="2">
        <v>146.63</v>
      </c>
      <c r="G162" s="3">
        <v>8359600</v>
      </c>
      <c r="I162">
        <f t="shared" si="2"/>
        <v>-9.6446029858634433E-3</v>
      </c>
    </row>
    <row r="163" spans="1:9" ht="18" x14ac:dyDescent="0.2">
      <c r="A163" s="1">
        <v>45854</v>
      </c>
      <c r="B163" s="2">
        <v>150.76</v>
      </c>
      <c r="C163" s="2">
        <v>151.47999999999999</v>
      </c>
      <c r="D163" s="2">
        <v>149.22</v>
      </c>
      <c r="E163" s="2">
        <v>149.91999999999999</v>
      </c>
      <c r="F163" s="2">
        <v>145.21</v>
      </c>
      <c r="G163" s="3">
        <v>7923400</v>
      </c>
      <c r="I163">
        <f t="shared" si="2"/>
        <v>5.1360725720384888E-3</v>
      </c>
    </row>
    <row r="164" spans="1:9" ht="18" x14ac:dyDescent="0.2">
      <c r="A164" s="1">
        <v>45853</v>
      </c>
      <c r="B164" s="2">
        <v>151.6</v>
      </c>
      <c r="C164" s="2">
        <v>152.31</v>
      </c>
      <c r="D164" s="2">
        <v>150.25</v>
      </c>
      <c r="E164" s="2">
        <v>150.69</v>
      </c>
      <c r="F164" s="2">
        <v>145.96</v>
      </c>
      <c r="G164" s="3">
        <v>7346300</v>
      </c>
      <c r="I164">
        <f t="shared" si="2"/>
        <v>6.3706948039021034E-3</v>
      </c>
    </row>
    <row r="165" spans="1:9" ht="18" x14ac:dyDescent="0.2">
      <c r="A165" s="1">
        <v>45852</v>
      </c>
      <c r="B165" s="2">
        <v>154.9</v>
      </c>
      <c r="C165" s="2">
        <v>154.9</v>
      </c>
      <c r="D165" s="2">
        <v>151.13999999999999</v>
      </c>
      <c r="E165" s="2">
        <v>151.65</v>
      </c>
      <c r="F165" s="2">
        <v>146.88999999999999</v>
      </c>
      <c r="G165" s="3">
        <v>10706300</v>
      </c>
      <c r="I165">
        <f t="shared" si="2"/>
        <v>2.4134520276953488E-2</v>
      </c>
    </row>
    <row r="166" spans="1:9" ht="18" x14ac:dyDescent="0.2">
      <c r="A166" s="1">
        <v>45849</v>
      </c>
      <c r="B166" s="2">
        <v>154.29</v>
      </c>
      <c r="C166" s="2">
        <v>155.88999999999999</v>
      </c>
      <c r="D166" s="2">
        <v>153.57</v>
      </c>
      <c r="E166" s="2">
        <v>155.31</v>
      </c>
      <c r="F166" s="2">
        <v>150.43</v>
      </c>
      <c r="G166" s="3">
        <v>8333200</v>
      </c>
      <c r="I166">
        <f t="shared" si="2"/>
        <v>-7.3401583928917307E-3</v>
      </c>
    </row>
    <row r="167" spans="1:9" ht="18" x14ac:dyDescent="0.2">
      <c r="A167" s="1">
        <v>45848</v>
      </c>
      <c r="B167" s="2">
        <v>152.79</v>
      </c>
      <c r="C167" s="2">
        <v>155.28</v>
      </c>
      <c r="D167" s="2">
        <v>151.68</v>
      </c>
      <c r="E167" s="2">
        <v>154.16999999999999</v>
      </c>
      <c r="F167" s="2">
        <v>149.33000000000001</v>
      </c>
      <c r="G167" s="3">
        <v>8395100</v>
      </c>
      <c r="I167">
        <f t="shared" si="2"/>
        <v>-7.4592981773365591E-3</v>
      </c>
    </row>
    <row r="168" spans="1:9" ht="18" x14ac:dyDescent="0.2">
      <c r="A168" s="1">
        <v>45847</v>
      </c>
      <c r="B168" s="2">
        <v>152.94</v>
      </c>
      <c r="C168" s="2">
        <v>153.96</v>
      </c>
      <c r="D168" s="2">
        <v>152.47999999999999</v>
      </c>
      <c r="E168" s="2">
        <v>153.02000000000001</v>
      </c>
      <c r="F168" s="2">
        <v>148.21</v>
      </c>
      <c r="G168" s="3">
        <v>9495900</v>
      </c>
      <c r="I168">
        <f t="shared" si="2"/>
        <v>1.4377205594039918E-3</v>
      </c>
    </row>
    <row r="169" spans="1:9" ht="18" x14ac:dyDescent="0.2">
      <c r="A169" s="1">
        <v>45846</v>
      </c>
      <c r="B169" s="2">
        <v>147.32</v>
      </c>
      <c r="C169" s="2">
        <v>153.24</v>
      </c>
      <c r="D169" s="2">
        <v>147.26</v>
      </c>
      <c r="E169" s="2">
        <v>153.24</v>
      </c>
      <c r="F169" s="2">
        <v>148.43</v>
      </c>
      <c r="G169" s="3">
        <v>14082100</v>
      </c>
      <c r="I169">
        <f t="shared" si="2"/>
        <v>-3.8110154006786759E-2</v>
      </c>
    </row>
    <row r="170" spans="1:9" ht="18" x14ac:dyDescent="0.2">
      <c r="A170" s="1">
        <v>45845</v>
      </c>
      <c r="B170" s="2">
        <v>147.4</v>
      </c>
      <c r="C170" s="2">
        <v>148.16999999999999</v>
      </c>
      <c r="D170" s="2">
        <v>145.58000000000001</v>
      </c>
      <c r="E170" s="2">
        <v>147.4</v>
      </c>
      <c r="F170" s="2">
        <v>142.77000000000001</v>
      </c>
      <c r="G170" s="3">
        <v>9460900</v>
      </c>
      <c r="I170">
        <f t="shared" si="2"/>
        <v>6.5807327001356775E-3</v>
      </c>
    </row>
    <row r="171" spans="1:9" ht="18" x14ac:dyDescent="0.2">
      <c r="A171" s="1">
        <v>45841</v>
      </c>
      <c r="B171" s="2">
        <v>147.84</v>
      </c>
      <c r="C171" s="2">
        <v>148.97999999999999</v>
      </c>
      <c r="D171" s="2">
        <v>147.36000000000001</v>
      </c>
      <c r="E171" s="2">
        <v>148.37</v>
      </c>
      <c r="F171" s="2">
        <v>143.71</v>
      </c>
      <c r="G171" s="3">
        <v>5173300</v>
      </c>
      <c r="I171">
        <f t="shared" si="2"/>
        <v>-2.6285637258206831E-3</v>
      </c>
    </row>
    <row r="172" spans="1:9" ht="18" x14ac:dyDescent="0.2">
      <c r="A172" s="1">
        <v>45840</v>
      </c>
      <c r="B172" s="2">
        <v>147.01</v>
      </c>
      <c r="C172" s="2">
        <v>148.01</v>
      </c>
      <c r="D172" s="2">
        <v>145.47</v>
      </c>
      <c r="E172" s="2">
        <v>147.97999999999999</v>
      </c>
      <c r="F172" s="2">
        <v>143.33000000000001</v>
      </c>
      <c r="G172" s="3">
        <v>8228700</v>
      </c>
      <c r="I172">
        <f t="shared" si="2"/>
        <v>-1.628598459251248E-2</v>
      </c>
    </row>
    <row r="173" spans="1:9" ht="18" x14ac:dyDescent="0.2">
      <c r="A173" s="1">
        <v>45839</v>
      </c>
      <c r="B173" s="2">
        <v>143.34</v>
      </c>
      <c r="C173" s="2">
        <v>146.27000000000001</v>
      </c>
      <c r="D173" s="2">
        <v>142.51</v>
      </c>
      <c r="E173" s="2">
        <v>145.57</v>
      </c>
      <c r="F173" s="2">
        <v>141</v>
      </c>
      <c r="G173" s="3">
        <v>8508200</v>
      </c>
      <c r="I173">
        <f t="shared" si="2"/>
        <v>-1.634952256646284E-2</v>
      </c>
    </row>
    <row r="174" spans="1:9" ht="18" x14ac:dyDescent="0.2">
      <c r="A174" s="1">
        <v>45838</v>
      </c>
      <c r="B174" s="2">
        <v>143.04</v>
      </c>
      <c r="C174" s="2">
        <v>144.1</v>
      </c>
      <c r="D174" s="2">
        <v>142.4</v>
      </c>
      <c r="E174" s="2">
        <v>143.19</v>
      </c>
      <c r="F174" s="2">
        <v>138.69</v>
      </c>
      <c r="G174" s="3">
        <v>6980300</v>
      </c>
      <c r="I174">
        <f t="shared" si="2"/>
        <v>4.1902367483762437E-3</v>
      </c>
    </row>
    <row r="175" spans="1:9" ht="18" x14ac:dyDescent="0.2">
      <c r="A175" s="1">
        <v>45835</v>
      </c>
      <c r="B175" s="2">
        <v>144.55000000000001</v>
      </c>
      <c r="C175" s="2">
        <v>144.66999999999999</v>
      </c>
      <c r="D175" s="2">
        <v>142.57</v>
      </c>
      <c r="E175" s="2">
        <v>143.79</v>
      </c>
      <c r="F175" s="2">
        <v>139.27000000000001</v>
      </c>
      <c r="G175" s="3">
        <v>9213500</v>
      </c>
      <c r="I175">
        <f t="shared" si="2"/>
        <v>4.5204812573892876E-3</v>
      </c>
    </row>
    <row r="176" spans="1:9" ht="18" x14ac:dyDescent="0.2">
      <c r="A176" s="1">
        <v>45834</v>
      </c>
      <c r="B176" s="2">
        <v>143.69999999999999</v>
      </c>
      <c r="C176" s="2">
        <v>145.08000000000001</v>
      </c>
      <c r="D176" s="2">
        <v>143.4</v>
      </c>
      <c r="E176" s="2">
        <v>144.44</v>
      </c>
      <c r="F176" s="2">
        <v>139.9</v>
      </c>
      <c r="G176" s="3">
        <v>7415700</v>
      </c>
      <c r="I176">
        <f t="shared" si="2"/>
        <v>-8.3771808363334813E-3</v>
      </c>
    </row>
    <row r="177" spans="1:9" ht="18" x14ac:dyDescent="0.2">
      <c r="A177" s="1">
        <v>45833</v>
      </c>
      <c r="B177" s="2">
        <v>143.41</v>
      </c>
      <c r="C177" s="2">
        <v>144.19999999999999</v>
      </c>
      <c r="D177" s="2">
        <v>142.51</v>
      </c>
      <c r="E177" s="2">
        <v>143.22999999999999</v>
      </c>
      <c r="F177" s="2">
        <v>138.72999999999999</v>
      </c>
      <c r="G177" s="3">
        <v>7386100</v>
      </c>
      <c r="I177">
        <f t="shared" si="2"/>
        <v>2.2341688193815656E-3</v>
      </c>
    </row>
    <row r="178" spans="1:9" ht="18" x14ac:dyDescent="0.2">
      <c r="A178" s="1">
        <v>45832</v>
      </c>
      <c r="B178" s="2">
        <v>144.54</v>
      </c>
      <c r="C178" s="2">
        <v>146.38999999999999</v>
      </c>
      <c r="D178" s="2">
        <v>143.16</v>
      </c>
      <c r="E178" s="2">
        <v>143.55000000000001</v>
      </c>
      <c r="F178" s="2">
        <v>139.04</v>
      </c>
      <c r="G178" s="3">
        <v>10778400</v>
      </c>
      <c r="I178">
        <f t="shared" si="2"/>
        <v>2.3058167885754106E-2</v>
      </c>
    </row>
    <row r="179" spans="1:9" ht="18" x14ac:dyDescent="0.2">
      <c r="A179" s="1">
        <v>45831</v>
      </c>
      <c r="B179" s="2">
        <v>152.12</v>
      </c>
      <c r="C179" s="2">
        <v>152.15</v>
      </c>
      <c r="D179" s="2">
        <v>146.32</v>
      </c>
      <c r="E179" s="2">
        <v>146.86000000000001</v>
      </c>
      <c r="F179" s="2">
        <v>142.25</v>
      </c>
      <c r="G179" s="3">
        <v>10540600</v>
      </c>
      <c r="I179">
        <f t="shared" si="2"/>
        <v>1.831676426528665E-2</v>
      </c>
    </row>
    <row r="180" spans="1:9" ht="18" x14ac:dyDescent="0.2">
      <c r="A180" s="1">
        <v>45828</v>
      </c>
      <c r="B180" s="2">
        <v>148.52000000000001</v>
      </c>
      <c r="C180" s="2">
        <v>149.9</v>
      </c>
      <c r="D180" s="2">
        <v>147.9</v>
      </c>
      <c r="E180" s="2">
        <v>149.55000000000001</v>
      </c>
      <c r="F180" s="2">
        <v>144.85</v>
      </c>
      <c r="G180" s="3">
        <v>23705900</v>
      </c>
      <c r="I180">
        <f t="shared" si="2"/>
        <v>-9.0939485122033675E-3</v>
      </c>
    </row>
    <row r="181" spans="1:9" ht="18" x14ac:dyDescent="0.2">
      <c r="A181" s="1">
        <v>45826</v>
      </c>
      <c r="B181" s="2">
        <v>149.44</v>
      </c>
      <c r="C181" s="2">
        <v>150.16999999999999</v>
      </c>
      <c r="D181" s="2">
        <v>147.69999999999999</v>
      </c>
      <c r="E181" s="2">
        <v>148.19</v>
      </c>
      <c r="F181" s="2">
        <v>143.54</v>
      </c>
      <c r="G181" s="3">
        <v>9841900</v>
      </c>
      <c r="I181">
        <f t="shared" si="2"/>
        <v>4.4537418179364102E-3</v>
      </c>
    </row>
    <row r="182" spans="1:9" ht="18" x14ac:dyDescent="0.2">
      <c r="A182" s="1">
        <v>45825</v>
      </c>
      <c r="B182" s="2">
        <v>147.33000000000001</v>
      </c>
      <c r="C182" s="2">
        <v>149.97999999999999</v>
      </c>
      <c r="D182" s="2">
        <v>146.5</v>
      </c>
      <c r="E182" s="2">
        <v>148.85</v>
      </c>
      <c r="F182" s="2">
        <v>144.16999999999999</v>
      </c>
      <c r="G182" s="3">
        <v>11330300</v>
      </c>
      <c r="I182">
        <f t="shared" si="2"/>
        <v>-1.8945246892845102E-2</v>
      </c>
    </row>
    <row r="183" spans="1:9" ht="18" x14ac:dyDescent="0.2">
      <c r="A183" s="1">
        <v>45824</v>
      </c>
      <c r="B183" s="2">
        <v>145.72999999999999</v>
      </c>
      <c r="C183" s="2">
        <v>146.87</v>
      </c>
      <c r="D183" s="2">
        <v>143.74</v>
      </c>
      <c r="E183" s="2">
        <v>146.03</v>
      </c>
      <c r="F183" s="2">
        <v>141.44</v>
      </c>
      <c r="G183" s="3">
        <v>10105100</v>
      </c>
      <c r="I183">
        <f t="shared" si="2"/>
        <v>-8.217489556940666E-4</v>
      </c>
    </row>
    <row r="184" spans="1:9" ht="18" x14ac:dyDescent="0.2">
      <c r="A184" s="1">
        <v>45821</v>
      </c>
      <c r="B184" s="2">
        <v>147.08000000000001</v>
      </c>
      <c r="C184" s="2">
        <v>147.6</v>
      </c>
      <c r="D184" s="2">
        <v>144.54</v>
      </c>
      <c r="E184" s="2">
        <v>145.91</v>
      </c>
      <c r="F184" s="2">
        <v>141.33000000000001</v>
      </c>
      <c r="G184" s="3">
        <v>14148000</v>
      </c>
      <c r="I184">
        <f t="shared" si="2"/>
        <v>-6.4423274621341767E-3</v>
      </c>
    </row>
    <row r="185" spans="1:9" ht="18" x14ac:dyDescent="0.2">
      <c r="A185" s="1">
        <v>45820</v>
      </c>
      <c r="B185" s="2">
        <v>144.5</v>
      </c>
      <c r="C185" s="2">
        <v>145.19999999999999</v>
      </c>
      <c r="D185" s="2">
        <v>143.43</v>
      </c>
      <c r="E185" s="2">
        <v>144.97</v>
      </c>
      <c r="F185" s="2">
        <v>140.41999999999999</v>
      </c>
      <c r="G185" s="3">
        <v>6999400</v>
      </c>
      <c r="I185">
        <f t="shared" si="2"/>
        <v>-1.3106159895150565E-3</v>
      </c>
    </row>
    <row r="186" spans="1:9" ht="18" x14ac:dyDescent="0.2">
      <c r="A186" s="1">
        <v>45819</v>
      </c>
      <c r="B186" s="2">
        <v>144.19</v>
      </c>
      <c r="C186" s="2">
        <v>145.12</v>
      </c>
      <c r="D186" s="2">
        <v>142.61000000000001</v>
      </c>
      <c r="E186" s="2">
        <v>144.78</v>
      </c>
      <c r="F186" s="2">
        <v>140.22999999999999</v>
      </c>
      <c r="G186" s="3">
        <v>9256700</v>
      </c>
      <c r="I186">
        <f t="shared" si="2"/>
        <v>-9.8770548418290298E-3</v>
      </c>
    </row>
    <row r="187" spans="1:9" ht="18" x14ac:dyDescent="0.2">
      <c r="A187" s="1">
        <v>45818</v>
      </c>
      <c r="B187" s="2">
        <v>142.22</v>
      </c>
      <c r="C187" s="2">
        <v>144.94</v>
      </c>
      <c r="D187" s="2">
        <v>141.91</v>
      </c>
      <c r="E187" s="2">
        <v>143.35</v>
      </c>
      <c r="F187" s="2">
        <v>138.85</v>
      </c>
      <c r="G187" s="3">
        <v>9841500</v>
      </c>
      <c r="I187">
        <f t="shared" si="2"/>
        <v>-1.8067666550401141E-2</v>
      </c>
    </row>
    <row r="188" spans="1:9" ht="18" x14ac:dyDescent="0.2">
      <c r="A188" s="1">
        <v>45817</v>
      </c>
      <c r="B188" s="2">
        <v>140.55000000000001</v>
      </c>
      <c r="C188" s="2">
        <v>142.13999999999999</v>
      </c>
      <c r="D188" s="2">
        <v>139.69</v>
      </c>
      <c r="E188" s="2">
        <v>140.76</v>
      </c>
      <c r="F188" s="2">
        <v>136.34</v>
      </c>
      <c r="G188" s="3">
        <v>7159500</v>
      </c>
      <c r="I188">
        <f t="shared" si="2"/>
        <v>-3.9073600454673412E-3</v>
      </c>
    </row>
    <row r="189" spans="1:9" ht="18" x14ac:dyDescent="0.2">
      <c r="A189" s="1">
        <v>45814</v>
      </c>
      <c r="B189" s="2">
        <v>138.09</v>
      </c>
      <c r="C189" s="2">
        <v>140.61000000000001</v>
      </c>
      <c r="D189" s="2">
        <v>138.09</v>
      </c>
      <c r="E189" s="2">
        <v>140.21</v>
      </c>
      <c r="F189" s="2">
        <v>135.81</v>
      </c>
      <c r="G189" s="3">
        <v>6563500</v>
      </c>
      <c r="I189">
        <f t="shared" si="2"/>
        <v>-2.3607445973896312E-2</v>
      </c>
    </row>
    <row r="190" spans="1:9" ht="18" x14ac:dyDescent="0.2">
      <c r="A190" s="1">
        <v>45813</v>
      </c>
      <c r="B190" s="2">
        <v>138.15</v>
      </c>
      <c r="C190" s="2">
        <v>138.29</v>
      </c>
      <c r="D190" s="2">
        <v>136.69999999999999</v>
      </c>
      <c r="E190" s="2">
        <v>136.9</v>
      </c>
      <c r="F190" s="2">
        <v>132.6</v>
      </c>
      <c r="G190" s="3">
        <v>6342600</v>
      </c>
      <c r="I190">
        <f t="shared" si="2"/>
        <v>3.4331628926223437E-3</v>
      </c>
    </row>
    <row r="191" spans="1:9" ht="18" x14ac:dyDescent="0.2">
      <c r="A191" s="1">
        <v>45812</v>
      </c>
      <c r="B191" s="2">
        <v>139.41999999999999</v>
      </c>
      <c r="C191" s="2">
        <v>140.63</v>
      </c>
      <c r="D191" s="2">
        <v>137.33000000000001</v>
      </c>
      <c r="E191" s="2">
        <v>137.37</v>
      </c>
      <c r="F191" s="2">
        <v>133.06</v>
      </c>
      <c r="G191" s="3">
        <v>8735600</v>
      </c>
      <c r="I191">
        <f t="shared" si="2"/>
        <v>1.586954939215263E-2</v>
      </c>
    </row>
    <row r="192" spans="1:9" ht="18" x14ac:dyDescent="0.2">
      <c r="A192" s="1">
        <v>45811</v>
      </c>
      <c r="B192" s="2">
        <v>137.65</v>
      </c>
      <c r="C192" s="2">
        <v>140.59</v>
      </c>
      <c r="D192" s="2">
        <v>136.6</v>
      </c>
      <c r="E192" s="2">
        <v>139.55000000000001</v>
      </c>
      <c r="F192" s="2">
        <v>135.16999999999999</v>
      </c>
      <c r="G192" s="3">
        <v>9001300</v>
      </c>
      <c r="I192">
        <f t="shared" ref="I192:I253" si="3">(E193-E192)/E192</f>
        <v>-1.2253672518810519E-2</v>
      </c>
    </row>
    <row r="193" spans="1:9" ht="18" x14ac:dyDescent="0.2">
      <c r="A193" s="1">
        <v>45810</v>
      </c>
      <c r="B193" s="2">
        <v>138.49</v>
      </c>
      <c r="C193" s="2">
        <v>138.69</v>
      </c>
      <c r="D193" s="2">
        <v>136.43</v>
      </c>
      <c r="E193" s="2">
        <v>137.84</v>
      </c>
      <c r="F193" s="2">
        <v>133.51</v>
      </c>
      <c r="G193" s="3">
        <v>9076600</v>
      </c>
      <c r="I193">
        <f t="shared" si="3"/>
        <v>-8.2704585026118303E-3</v>
      </c>
    </row>
    <row r="194" spans="1:9" ht="18" x14ac:dyDescent="0.2">
      <c r="A194" s="1">
        <v>45807</v>
      </c>
      <c r="B194" s="2">
        <v>136.88</v>
      </c>
      <c r="C194" s="2">
        <v>137.44999999999999</v>
      </c>
      <c r="D194" s="2">
        <v>135.21</v>
      </c>
      <c r="E194" s="2">
        <v>136.69999999999999</v>
      </c>
      <c r="F194" s="2">
        <v>132.41</v>
      </c>
      <c r="G194" s="3">
        <v>12858900</v>
      </c>
      <c r="I194">
        <f t="shared" si="3"/>
        <v>8.8514996342356107E-3</v>
      </c>
    </row>
    <row r="195" spans="1:9" ht="18" x14ac:dyDescent="0.2">
      <c r="A195" s="1">
        <v>45806</v>
      </c>
      <c r="B195" s="2">
        <v>136.5</v>
      </c>
      <c r="C195" s="2">
        <v>137.94</v>
      </c>
      <c r="D195" s="2">
        <v>136.1</v>
      </c>
      <c r="E195" s="2">
        <v>137.91</v>
      </c>
      <c r="F195" s="2">
        <v>133.58000000000001</v>
      </c>
      <c r="G195" s="3">
        <v>7554300</v>
      </c>
      <c r="I195">
        <f t="shared" si="3"/>
        <v>-1.3704589949967271E-2</v>
      </c>
    </row>
    <row r="196" spans="1:9" ht="18" x14ac:dyDescent="0.2">
      <c r="A196" s="1">
        <v>45805</v>
      </c>
      <c r="B196" s="2">
        <v>138.78</v>
      </c>
      <c r="C196" s="2">
        <v>138.79</v>
      </c>
      <c r="D196" s="2">
        <v>135.66</v>
      </c>
      <c r="E196" s="2">
        <v>136.02000000000001</v>
      </c>
      <c r="F196" s="2">
        <v>131.75</v>
      </c>
      <c r="G196" s="3">
        <v>6876300</v>
      </c>
      <c r="I196">
        <f t="shared" si="3"/>
        <v>1.3306866637259242E-2</v>
      </c>
    </row>
    <row r="197" spans="1:9" ht="18" x14ac:dyDescent="0.2">
      <c r="A197" s="1">
        <v>45804</v>
      </c>
      <c r="B197" s="2">
        <v>137.38</v>
      </c>
      <c r="C197" s="2">
        <v>137.97</v>
      </c>
      <c r="D197" s="2">
        <v>136.41</v>
      </c>
      <c r="E197" s="2">
        <v>137.83000000000001</v>
      </c>
      <c r="F197" s="2">
        <v>133.5</v>
      </c>
      <c r="G197" s="3">
        <v>8348900</v>
      </c>
      <c r="I197">
        <f t="shared" si="3"/>
        <v>-9.3593557280709592E-3</v>
      </c>
    </row>
    <row r="198" spans="1:9" ht="18" x14ac:dyDescent="0.2">
      <c r="A198" s="1">
        <v>45800</v>
      </c>
      <c r="B198" s="2">
        <v>134.38999999999999</v>
      </c>
      <c r="C198" s="2">
        <v>136.79</v>
      </c>
      <c r="D198" s="2">
        <v>134.06</v>
      </c>
      <c r="E198" s="2">
        <v>136.54</v>
      </c>
      <c r="F198" s="2">
        <v>132.25</v>
      </c>
      <c r="G198" s="3">
        <v>7025900</v>
      </c>
      <c r="I198">
        <f t="shared" si="3"/>
        <v>-9.1548264244909923E-3</v>
      </c>
    </row>
    <row r="199" spans="1:9" ht="18" x14ac:dyDescent="0.2">
      <c r="A199" s="1">
        <v>45799</v>
      </c>
      <c r="B199" s="2">
        <v>134.99</v>
      </c>
      <c r="C199" s="2">
        <v>135.99</v>
      </c>
      <c r="D199" s="2">
        <v>133.77000000000001</v>
      </c>
      <c r="E199" s="2">
        <v>135.29</v>
      </c>
      <c r="F199" s="2">
        <v>131.04</v>
      </c>
      <c r="G199" s="3">
        <v>8877600</v>
      </c>
      <c r="I199">
        <f t="shared" si="3"/>
        <v>1.9957129130017759E-3</v>
      </c>
    </row>
    <row r="200" spans="1:9" ht="18" x14ac:dyDescent="0.2">
      <c r="A200" s="1">
        <v>45798</v>
      </c>
      <c r="B200" s="2">
        <v>136.62</v>
      </c>
      <c r="C200" s="2">
        <v>137.13</v>
      </c>
      <c r="D200" s="2">
        <v>135.49</v>
      </c>
      <c r="E200" s="2">
        <v>135.56</v>
      </c>
      <c r="F200" s="2">
        <v>131.30000000000001</v>
      </c>
      <c r="G200" s="3">
        <v>9073200</v>
      </c>
      <c r="I200">
        <f t="shared" si="3"/>
        <v>1.2614340513425849E-2</v>
      </c>
    </row>
    <row r="201" spans="1:9" ht="18" x14ac:dyDescent="0.2">
      <c r="A201" s="1">
        <v>45797</v>
      </c>
      <c r="B201" s="2">
        <v>138.29</v>
      </c>
      <c r="C201" s="2">
        <v>138.75</v>
      </c>
      <c r="D201" s="2">
        <v>137.03</v>
      </c>
      <c r="E201" s="2">
        <v>137.27000000000001</v>
      </c>
      <c r="F201" s="2">
        <v>132.96</v>
      </c>
      <c r="G201" s="3">
        <v>6503900</v>
      </c>
      <c r="I201">
        <f>(E202-E201)/E201</f>
        <v>8.8875937932541612E-3</v>
      </c>
    </row>
    <row r="202" spans="1:9" ht="18" x14ac:dyDescent="0.2">
      <c r="A202" s="1">
        <v>45796</v>
      </c>
      <c r="B202" s="2">
        <v>139.47</v>
      </c>
      <c r="C202" s="2">
        <v>139.52000000000001</v>
      </c>
      <c r="D202" s="2">
        <v>137.12</v>
      </c>
      <c r="E202" s="2">
        <v>138.49</v>
      </c>
      <c r="F202" s="2">
        <v>134.13999999999999</v>
      </c>
      <c r="G202" s="3">
        <v>7713600</v>
      </c>
      <c r="I202">
        <f t="shared" si="3"/>
        <v>2.6066864033504115E-2</v>
      </c>
    </row>
    <row r="203" spans="1:9" ht="18" x14ac:dyDescent="0.2">
      <c r="A203" s="1">
        <v>45793</v>
      </c>
      <c r="B203" s="2">
        <v>142.69999999999999</v>
      </c>
      <c r="C203" s="2">
        <v>143</v>
      </c>
      <c r="D203" s="2">
        <v>140.69999999999999</v>
      </c>
      <c r="E203" s="2">
        <v>142.1</v>
      </c>
      <c r="F203" s="2">
        <v>135.97999999999999</v>
      </c>
      <c r="G203" s="3">
        <v>8200100</v>
      </c>
      <c r="I203">
        <f t="shared" si="3"/>
        <v>1.1259676284306587E-3</v>
      </c>
    </row>
    <row r="204" spans="1:9" ht="18" x14ac:dyDescent="0.2">
      <c r="A204" s="1">
        <v>45792</v>
      </c>
      <c r="B204" s="2">
        <v>140</v>
      </c>
      <c r="C204" s="2">
        <v>142.46</v>
      </c>
      <c r="D204" s="2">
        <v>139.51</v>
      </c>
      <c r="E204" s="2">
        <v>142.26</v>
      </c>
      <c r="F204" s="2">
        <v>136.13</v>
      </c>
      <c r="G204" s="3">
        <v>7545400</v>
      </c>
      <c r="I204">
        <f t="shared" si="3"/>
        <v>-4.1473358639111729E-3</v>
      </c>
    </row>
    <row r="205" spans="1:9" ht="18" x14ac:dyDescent="0.2">
      <c r="A205" s="1">
        <v>45791</v>
      </c>
      <c r="B205" s="2">
        <v>141.76</v>
      </c>
      <c r="C205" s="2">
        <v>142.22999999999999</v>
      </c>
      <c r="D205" s="2">
        <v>140.72999999999999</v>
      </c>
      <c r="E205" s="2">
        <v>141.66999999999999</v>
      </c>
      <c r="F205" s="2">
        <v>135.57</v>
      </c>
      <c r="G205" s="3">
        <v>6453600</v>
      </c>
      <c r="I205">
        <f t="shared" si="3"/>
        <v>4.799887061480955E-3</v>
      </c>
    </row>
    <row r="206" spans="1:9" ht="18" x14ac:dyDescent="0.2">
      <c r="A206" s="1">
        <v>45790</v>
      </c>
      <c r="B206" s="2">
        <v>141.53</v>
      </c>
      <c r="C206" s="2">
        <v>143.22999999999999</v>
      </c>
      <c r="D206" s="2">
        <v>140.91999999999999</v>
      </c>
      <c r="E206" s="2">
        <v>142.35</v>
      </c>
      <c r="F206" s="2">
        <v>136.22</v>
      </c>
      <c r="G206" s="3">
        <v>8536800</v>
      </c>
      <c r="I206">
        <f t="shared" si="3"/>
        <v>-5.1282051282050562E-3</v>
      </c>
    </row>
    <row r="207" spans="1:9" ht="18" x14ac:dyDescent="0.2">
      <c r="A207" s="1">
        <v>45789</v>
      </c>
      <c r="B207" s="2">
        <v>142.44999999999999</v>
      </c>
      <c r="C207" s="2">
        <v>143.71</v>
      </c>
      <c r="D207" s="2">
        <v>140.57</v>
      </c>
      <c r="E207" s="2">
        <v>141.62</v>
      </c>
      <c r="F207" s="2">
        <v>135.52000000000001</v>
      </c>
      <c r="G207" s="3">
        <v>8028200</v>
      </c>
      <c r="I207">
        <f t="shared" si="3"/>
        <v>-2.2101398107611886E-2</v>
      </c>
    </row>
    <row r="208" spans="1:9" ht="18" x14ac:dyDescent="0.2">
      <c r="A208" s="1">
        <v>45786</v>
      </c>
      <c r="B208" s="2">
        <v>138.9</v>
      </c>
      <c r="C208" s="2">
        <v>139.37</v>
      </c>
      <c r="D208" s="2">
        <v>137.69999999999999</v>
      </c>
      <c r="E208" s="2">
        <v>138.49</v>
      </c>
      <c r="F208" s="2">
        <v>132.53</v>
      </c>
      <c r="G208" s="3">
        <v>5965700</v>
      </c>
      <c r="I208">
        <f t="shared" si="3"/>
        <v>-1.0470070041158328E-2</v>
      </c>
    </row>
    <row r="209" spans="1:9" ht="18" x14ac:dyDescent="0.2">
      <c r="A209" s="1">
        <v>45785</v>
      </c>
      <c r="B209" s="2">
        <v>136.69</v>
      </c>
      <c r="C209" s="2">
        <v>138.88999999999999</v>
      </c>
      <c r="D209" s="2">
        <v>136.47</v>
      </c>
      <c r="E209" s="2">
        <v>137.04</v>
      </c>
      <c r="F209" s="2">
        <v>131.13999999999999</v>
      </c>
      <c r="G209" s="3">
        <v>8669300</v>
      </c>
      <c r="I209">
        <f t="shared" si="3"/>
        <v>-9.1214244016345602E-3</v>
      </c>
    </row>
    <row r="210" spans="1:9" ht="18" x14ac:dyDescent="0.2">
      <c r="A210" s="1">
        <v>45784</v>
      </c>
      <c r="B210" s="2">
        <v>136.07</v>
      </c>
      <c r="C210" s="2">
        <v>136.30000000000001</v>
      </c>
      <c r="D210" s="2">
        <v>134.62</v>
      </c>
      <c r="E210" s="2">
        <v>135.79</v>
      </c>
      <c r="F210" s="2">
        <v>129.94</v>
      </c>
      <c r="G210" s="3">
        <v>8422100</v>
      </c>
      <c r="I210">
        <f t="shared" si="3"/>
        <v>-1.3992193828705924E-3</v>
      </c>
    </row>
    <row r="211" spans="1:9" ht="18" x14ac:dyDescent="0.2">
      <c r="A211" s="1">
        <v>45783</v>
      </c>
      <c r="B211" s="2">
        <v>136.35</v>
      </c>
      <c r="C211" s="2">
        <v>137.31</v>
      </c>
      <c r="D211" s="2">
        <v>135.04</v>
      </c>
      <c r="E211" s="2">
        <v>135.6</v>
      </c>
      <c r="F211" s="2">
        <v>129.76</v>
      </c>
      <c r="G211" s="3">
        <v>9916200</v>
      </c>
      <c r="I211">
        <f t="shared" si="3"/>
        <v>-7.3746312684361596E-4</v>
      </c>
    </row>
    <row r="212" spans="1:9" ht="18" x14ac:dyDescent="0.2">
      <c r="A212" s="1">
        <v>45782</v>
      </c>
      <c r="B212" s="2">
        <v>136.77000000000001</v>
      </c>
      <c r="C212" s="2">
        <v>137</v>
      </c>
      <c r="D212" s="2">
        <v>135.18</v>
      </c>
      <c r="E212" s="2">
        <v>135.5</v>
      </c>
      <c r="F212" s="2">
        <v>129.66</v>
      </c>
      <c r="G212" s="3">
        <v>9665000</v>
      </c>
      <c r="I212">
        <f t="shared" si="3"/>
        <v>2.2140221402214021E-2</v>
      </c>
    </row>
    <row r="213" spans="1:9" ht="18" x14ac:dyDescent="0.2">
      <c r="A213" s="1">
        <v>45779</v>
      </c>
      <c r="B213" s="2">
        <v>137.88</v>
      </c>
      <c r="C213" s="2">
        <v>139.78</v>
      </c>
      <c r="D213" s="2">
        <v>135.29</v>
      </c>
      <c r="E213" s="2">
        <v>138.5</v>
      </c>
      <c r="F213" s="2">
        <v>132.54</v>
      </c>
      <c r="G213" s="3">
        <v>12393200</v>
      </c>
      <c r="I213">
        <f t="shared" si="3"/>
        <v>-1.6173285198556021E-2</v>
      </c>
    </row>
    <row r="214" spans="1:9" ht="18" x14ac:dyDescent="0.2">
      <c r="A214" s="1">
        <v>45778</v>
      </c>
      <c r="B214" s="2">
        <v>135.41999999999999</v>
      </c>
      <c r="C214" s="2">
        <v>137.94999999999999</v>
      </c>
      <c r="D214" s="2">
        <v>135.12</v>
      </c>
      <c r="E214" s="2">
        <v>136.26</v>
      </c>
      <c r="F214" s="2">
        <v>130.38999999999999</v>
      </c>
      <c r="G214" s="3">
        <v>10199800</v>
      </c>
      <c r="I214">
        <f t="shared" si="3"/>
        <v>-1.4677821811242377E-3</v>
      </c>
    </row>
    <row r="215" spans="1:9" ht="18" x14ac:dyDescent="0.2">
      <c r="A215" s="1">
        <v>45777</v>
      </c>
      <c r="B215" s="2">
        <v>138</v>
      </c>
      <c r="C215" s="2">
        <v>138.15</v>
      </c>
      <c r="D215" s="2">
        <v>134.13999999999999</v>
      </c>
      <c r="E215" s="2">
        <v>136.06</v>
      </c>
      <c r="F215" s="2">
        <v>130.19999999999999</v>
      </c>
      <c r="G215" s="3">
        <v>13858000</v>
      </c>
      <c r="I215">
        <f t="shared" si="3"/>
        <v>2.3813023666029758E-2</v>
      </c>
    </row>
    <row r="216" spans="1:9" ht="18" x14ac:dyDescent="0.2">
      <c r="A216" s="1">
        <v>45776</v>
      </c>
      <c r="B216" s="2">
        <v>138.69</v>
      </c>
      <c r="C216" s="2">
        <v>140.01</v>
      </c>
      <c r="D216" s="2">
        <v>138.57</v>
      </c>
      <c r="E216" s="2">
        <v>139.30000000000001</v>
      </c>
      <c r="F216" s="2">
        <v>133.30000000000001</v>
      </c>
      <c r="G216" s="3">
        <v>7343800</v>
      </c>
      <c r="I216">
        <f t="shared" si="3"/>
        <v>5.7430007178749668E-3</v>
      </c>
    </row>
    <row r="217" spans="1:9" ht="18" x14ac:dyDescent="0.2">
      <c r="A217" s="1">
        <v>45775</v>
      </c>
      <c r="B217" s="2">
        <v>138.97</v>
      </c>
      <c r="C217" s="2">
        <v>140.46</v>
      </c>
      <c r="D217" s="2">
        <v>138.68</v>
      </c>
      <c r="E217" s="2">
        <v>140.1</v>
      </c>
      <c r="F217" s="2">
        <v>134.07</v>
      </c>
      <c r="G217" s="3">
        <v>6715500</v>
      </c>
      <c r="I217">
        <f t="shared" si="3"/>
        <v>-9.7787294789436451E-3</v>
      </c>
    </row>
    <row r="218" spans="1:9" ht="18" x14ac:dyDescent="0.2">
      <c r="A218" s="1">
        <v>45772</v>
      </c>
      <c r="B218" s="2">
        <v>138.33000000000001</v>
      </c>
      <c r="C218" s="2">
        <v>139.05000000000001</v>
      </c>
      <c r="D218" s="2">
        <v>137.25</v>
      </c>
      <c r="E218" s="2">
        <v>138.72999999999999</v>
      </c>
      <c r="F218" s="2">
        <v>132.76</v>
      </c>
      <c r="G218" s="3">
        <v>6878500</v>
      </c>
      <c r="I218">
        <f t="shared" si="3"/>
        <v>2.4508037194550815E-3</v>
      </c>
    </row>
    <row r="219" spans="1:9" ht="18" x14ac:dyDescent="0.2">
      <c r="A219" s="1">
        <v>45771</v>
      </c>
      <c r="B219" s="2">
        <v>137.91999999999999</v>
      </c>
      <c r="C219" s="2">
        <v>139.4</v>
      </c>
      <c r="D219" s="2">
        <v>137.22</v>
      </c>
      <c r="E219" s="2">
        <v>139.07</v>
      </c>
      <c r="F219" s="2">
        <v>133.08000000000001</v>
      </c>
      <c r="G219" s="3">
        <v>7745800</v>
      </c>
      <c r="I219">
        <f t="shared" si="3"/>
        <v>-1.7185589990652093E-2</v>
      </c>
    </row>
    <row r="220" spans="1:9" ht="18" x14ac:dyDescent="0.2">
      <c r="A220" s="1">
        <v>45770</v>
      </c>
      <c r="B220" s="2">
        <v>137.21</v>
      </c>
      <c r="C220" s="2">
        <v>138.55000000000001</v>
      </c>
      <c r="D220" s="2">
        <v>135.15</v>
      </c>
      <c r="E220" s="2">
        <v>136.68</v>
      </c>
      <c r="F220" s="2">
        <v>130.79</v>
      </c>
      <c r="G220" s="3">
        <v>10002000</v>
      </c>
      <c r="I220">
        <f t="shared" si="3"/>
        <v>4.5361428153351223E-3</v>
      </c>
    </row>
    <row r="221" spans="1:9" ht="18" x14ac:dyDescent="0.2">
      <c r="A221" s="1">
        <v>45769</v>
      </c>
      <c r="B221" s="2">
        <v>135.26</v>
      </c>
      <c r="C221" s="2">
        <v>138.24</v>
      </c>
      <c r="D221" s="2">
        <v>134.94</v>
      </c>
      <c r="E221" s="2">
        <v>137.30000000000001</v>
      </c>
      <c r="F221" s="2">
        <v>131.38999999999999</v>
      </c>
      <c r="G221" s="3">
        <v>7984700</v>
      </c>
      <c r="I221">
        <f t="shared" si="3"/>
        <v>-2.6001456664239048E-2</v>
      </c>
    </row>
    <row r="222" spans="1:9" ht="18" x14ac:dyDescent="0.2">
      <c r="A222" s="1">
        <v>45768</v>
      </c>
      <c r="B222" s="2">
        <v>136.02000000000001</v>
      </c>
      <c r="C222" s="2">
        <v>136.29</v>
      </c>
      <c r="D222" s="2">
        <v>132.33000000000001</v>
      </c>
      <c r="E222" s="2">
        <v>133.72999999999999</v>
      </c>
      <c r="F222" s="2">
        <v>127.97</v>
      </c>
      <c r="G222" s="3">
        <v>9967500</v>
      </c>
      <c r="I222">
        <f t="shared" si="3"/>
        <v>3.0957900246765986E-2</v>
      </c>
    </row>
    <row r="223" spans="1:9" ht="18" x14ac:dyDescent="0.2">
      <c r="A223" s="1">
        <v>45764</v>
      </c>
      <c r="B223" s="2">
        <v>136.69</v>
      </c>
      <c r="C223" s="2">
        <v>140.24</v>
      </c>
      <c r="D223" s="2">
        <v>136.44999999999999</v>
      </c>
      <c r="E223" s="2">
        <v>137.87</v>
      </c>
      <c r="F223" s="2">
        <v>131.93</v>
      </c>
      <c r="G223" s="3">
        <v>8434400</v>
      </c>
      <c r="I223">
        <f t="shared" si="3"/>
        <v>-1.8205555958511574E-2</v>
      </c>
    </row>
    <row r="224" spans="1:9" ht="18" x14ac:dyDescent="0.2">
      <c r="A224" s="1">
        <v>45763</v>
      </c>
      <c r="B224" s="2">
        <v>135.4</v>
      </c>
      <c r="C224" s="2">
        <v>137.55000000000001</v>
      </c>
      <c r="D224" s="2">
        <v>134.80000000000001</v>
      </c>
      <c r="E224" s="2">
        <v>135.36000000000001</v>
      </c>
      <c r="F224" s="2">
        <v>129.53</v>
      </c>
      <c r="G224" s="3">
        <v>8637200</v>
      </c>
      <c r="I224">
        <f t="shared" si="3"/>
        <v>-6.0579196217495678E-3</v>
      </c>
    </row>
    <row r="225" spans="1:9" ht="18" x14ac:dyDescent="0.2">
      <c r="A225" s="1">
        <v>45762</v>
      </c>
      <c r="B225" s="2">
        <v>134.32</v>
      </c>
      <c r="C225" s="2">
        <v>136.63</v>
      </c>
      <c r="D225" s="2">
        <v>134.25</v>
      </c>
      <c r="E225" s="2">
        <v>134.54</v>
      </c>
      <c r="F225" s="2">
        <v>128.75</v>
      </c>
      <c r="G225" s="3">
        <v>9334800</v>
      </c>
      <c r="I225">
        <f t="shared" si="3"/>
        <v>5.7975323323918625E-3</v>
      </c>
    </row>
    <row r="226" spans="1:9" ht="18" x14ac:dyDescent="0.2">
      <c r="A226" s="1">
        <v>45761</v>
      </c>
      <c r="B226" s="2">
        <v>138.47999999999999</v>
      </c>
      <c r="C226" s="2">
        <v>138.54</v>
      </c>
      <c r="D226" s="2">
        <v>134.1</v>
      </c>
      <c r="E226" s="2">
        <v>135.32</v>
      </c>
      <c r="F226" s="2">
        <v>129.49</v>
      </c>
      <c r="G226" s="3">
        <v>9628200</v>
      </c>
      <c r="I226">
        <f t="shared" si="3"/>
        <v>2.2908660951818081E-3</v>
      </c>
    </row>
    <row r="227" spans="1:9" ht="18" x14ac:dyDescent="0.2">
      <c r="A227" s="1">
        <v>45758</v>
      </c>
      <c r="B227" s="2">
        <v>135.01</v>
      </c>
      <c r="C227" s="2">
        <v>137.12</v>
      </c>
      <c r="D227" s="2">
        <v>132.04</v>
      </c>
      <c r="E227" s="2">
        <v>135.63</v>
      </c>
      <c r="F227" s="2">
        <v>129.79</v>
      </c>
      <c r="G227" s="3">
        <v>17224400</v>
      </c>
      <c r="I227">
        <f t="shared" si="3"/>
        <v>-4.7924500479245421E-3</v>
      </c>
    </row>
    <row r="228" spans="1:9" ht="18" x14ac:dyDescent="0.2">
      <c r="A228" s="1">
        <v>45757</v>
      </c>
      <c r="B228" s="2">
        <v>143.22</v>
      </c>
      <c r="C228" s="2">
        <v>143.63</v>
      </c>
      <c r="D228" s="2">
        <v>133.44999999999999</v>
      </c>
      <c r="E228" s="2">
        <v>134.97999999999999</v>
      </c>
      <c r="F228" s="2">
        <v>129.16999999999999</v>
      </c>
      <c r="G228" s="3">
        <v>20991200</v>
      </c>
      <c r="I228">
        <f t="shared" si="3"/>
        <v>8.1863979848866592E-2</v>
      </c>
    </row>
    <row r="229" spans="1:9" ht="18" x14ac:dyDescent="0.2">
      <c r="A229" s="1">
        <v>45756</v>
      </c>
      <c r="B229" s="2">
        <v>135.02000000000001</v>
      </c>
      <c r="C229" s="2">
        <v>147.47</v>
      </c>
      <c r="D229" s="2">
        <v>133.88</v>
      </c>
      <c r="E229" s="2">
        <v>146.03</v>
      </c>
      <c r="F229" s="2">
        <v>139.74</v>
      </c>
      <c r="G229" s="3">
        <v>16846800</v>
      </c>
      <c r="I229">
        <f t="shared" si="3"/>
        <v>-6.2315962473464319E-2</v>
      </c>
    </row>
    <row r="230" spans="1:9" ht="18" x14ac:dyDescent="0.2">
      <c r="A230" s="1">
        <v>45755</v>
      </c>
      <c r="B230" s="2">
        <v>144.15</v>
      </c>
      <c r="C230" s="2">
        <v>144.49</v>
      </c>
      <c r="D230" s="2">
        <v>134.87</v>
      </c>
      <c r="E230" s="2">
        <v>136.93</v>
      </c>
      <c r="F230" s="2">
        <v>131.03</v>
      </c>
      <c r="G230" s="3">
        <v>12904400</v>
      </c>
      <c r="I230">
        <f t="shared" si="3"/>
        <v>2.3515664938289629E-2</v>
      </c>
    </row>
    <row r="231" spans="1:9" ht="18" x14ac:dyDescent="0.2">
      <c r="A231" s="1">
        <v>45754</v>
      </c>
      <c r="B231" s="2">
        <v>138.72999999999999</v>
      </c>
      <c r="C231" s="2">
        <v>146.19</v>
      </c>
      <c r="D231" s="2">
        <v>137.29</v>
      </c>
      <c r="E231" s="2">
        <v>140.15</v>
      </c>
      <c r="F231" s="2">
        <v>134.11000000000001</v>
      </c>
      <c r="G231" s="3">
        <v>17817000</v>
      </c>
      <c r="I231">
        <f t="shared" si="3"/>
        <v>2.2333214413128757E-2</v>
      </c>
    </row>
    <row r="232" spans="1:9" ht="18" x14ac:dyDescent="0.2">
      <c r="A232" s="1">
        <v>45751</v>
      </c>
      <c r="B232" s="2">
        <v>151.76</v>
      </c>
      <c r="C232" s="2">
        <v>152.46</v>
      </c>
      <c r="D232" s="2">
        <v>142.75</v>
      </c>
      <c r="E232" s="2">
        <v>143.28</v>
      </c>
      <c r="F232" s="2">
        <v>137.11000000000001</v>
      </c>
      <c r="G232" s="3">
        <v>20374700</v>
      </c>
      <c r="I232">
        <f t="shared" si="3"/>
        <v>8.9614740368509235E-2</v>
      </c>
    </row>
    <row r="233" spans="1:9" ht="18" x14ac:dyDescent="0.2">
      <c r="A233" s="1">
        <v>45750</v>
      </c>
      <c r="B233" s="2">
        <v>160.12</v>
      </c>
      <c r="C233" s="2">
        <v>161.35</v>
      </c>
      <c r="D233" s="2">
        <v>155.80000000000001</v>
      </c>
      <c r="E233" s="2">
        <v>156.12</v>
      </c>
      <c r="F233" s="2">
        <v>149.4</v>
      </c>
      <c r="G233" s="3">
        <v>15501000</v>
      </c>
      <c r="I233">
        <f t="shared" si="3"/>
        <v>6.629515757109912E-2</v>
      </c>
    </row>
    <row r="234" spans="1:9" ht="18" x14ac:dyDescent="0.2">
      <c r="A234" s="1">
        <v>45749</v>
      </c>
      <c r="B234" s="2">
        <v>167.4</v>
      </c>
      <c r="C234" s="2">
        <v>167.98</v>
      </c>
      <c r="D234" s="2">
        <v>165.85</v>
      </c>
      <c r="E234" s="2">
        <v>166.47</v>
      </c>
      <c r="F234" s="2">
        <v>159.30000000000001</v>
      </c>
      <c r="G234" s="3">
        <v>7044900</v>
      </c>
      <c r="I234">
        <f t="shared" si="3"/>
        <v>1.2254460263110422E-2</v>
      </c>
    </row>
    <row r="235" spans="1:9" ht="18" x14ac:dyDescent="0.2">
      <c r="A235" s="1">
        <v>45748</v>
      </c>
      <c r="B235" s="2">
        <v>167.29</v>
      </c>
      <c r="C235" s="2">
        <v>168.6</v>
      </c>
      <c r="D235" s="2">
        <v>166.16</v>
      </c>
      <c r="E235" s="2">
        <v>168.51</v>
      </c>
      <c r="F235" s="2">
        <v>161.25</v>
      </c>
      <c r="G235" s="3">
        <v>6378600</v>
      </c>
      <c r="I235">
        <f t="shared" si="3"/>
        <v>-7.2399264138626723E-3</v>
      </c>
    </row>
    <row r="236" spans="1:9" ht="18" x14ac:dyDescent="0.2">
      <c r="A236" s="1">
        <v>45747</v>
      </c>
      <c r="B236" s="2">
        <v>166.19</v>
      </c>
      <c r="C236" s="2">
        <v>168.92</v>
      </c>
      <c r="D236" s="2">
        <v>166.13</v>
      </c>
      <c r="E236" s="2">
        <v>167.29</v>
      </c>
      <c r="F236" s="2">
        <v>160.09</v>
      </c>
      <c r="G236" s="3">
        <v>10675300</v>
      </c>
      <c r="I236">
        <f t="shared" si="3"/>
        <v>-7.1731723354652921E-3</v>
      </c>
    </row>
    <row r="237" spans="1:9" ht="18" x14ac:dyDescent="0.2">
      <c r="A237" s="1">
        <v>45744</v>
      </c>
      <c r="B237" s="2">
        <v>166.7</v>
      </c>
      <c r="C237" s="2">
        <v>167.13</v>
      </c>
      <c r="D237" s="2">
        <v>165.3</v>
      </c>
      <c r="E237" s="2">
        <v>166.09</v>
      </c>
      <c r="F237" s="2">
        <v>158.94</v>
      </c>
      <c r="G237" s="3">
        <v>4923000</v>
      </c>
      <c r="I237">
        <f t="shared" si="3"/>
        <v>3.3716659642362709E-3</v>
      </c>
    </row>
    <row r="238" spans="1:9" ht="18" x14ac:dyDescent="0.2">
      <c r="A238" s="1">
        <v>45743</v>
      </c>
      <c r="B238" s="2">
        <v>167.25</v>
      </c>
      <c r="C238" s="2">
        <v>168.22</v>
      </c>
      <c r="D238" s="2">
        <v>165.85</v>
      </c>
      <c r="E238" s="2">
        <v>166.65</v>
      </c>
      <c r="F238" s="2">
        <v>159.47</v>
      </c>
      <c r="G238" s="3">
        <v>6862700</v>
      </c>
      <c r="I238">
        <f t="shared" si="3"/>
        <v>7.9207920792078793E-3</v>
      </c>
    </row>
    <row r="239" spans="1:9" ht="18" x14ac:dyDescent="0.2">
      <c r="A239" s="1">
        <v>45742</v>
      </c>
      <c r="B239" s="2">
        <v>167.37</v>
      </c>
      <c r="C239" s="2">
        <v>168.96</v>
      </c>
      <c r="D239" s="2">
        <v>167.25</v>
      </c>
      <c r="E239" s="2">
        <v>167.97</v>
      </c>
      <c r="F239" s="2">
        <v>160.74</v>
      </c>
      <c r="G239" s="3">
        <v>10076100</v>
      </c>
      <c r="I239">
        <f t="shared" si="3"/>
        <v>-1.2085491456807771E-2</v>
      </c>
    </row>
    <row r="240" spans="1:9" ht="18" x14ac:dyDescent="0.2">
      <c r="A240" s="1">
        <v>45741</v>
      </c>
      <c r="B240" s="2">
        <v>166.08</v>
      </c>
      <c r="C240" s="2">
        <v>167.82</v>
      </c>
      <c r="D240" s="2">
        <v>165.11</v>
      </c>
      <c r="E240" s="2">
        <v>165.94</v>
      </c>
      <c r="F240" s="2">
        <v>158.79</v>
      </c>
      <c r="G240" s="3">
        <v>7869200</v>
      </c>
      <c r="I240">
        <f t="shared" si="3"/>
        <v>-5.5441725925032392E-3</v>
      </c>
    </row>
    <row r="241" spans="1:9" ht="18" x14ac:dyDescent="0.2">
      <c r="A241" s="1">
        <v>45740</v>
      </c>
      <c r="B241" s="2">
        <v>164.69</v>
      </c>
      <c r="C241" s="2">
        <v>166.43</v>
      </c>
      <c r="D241" s="2">
        <v>164.32</v>
      </c>
      <c r="E241" s="2">
        <v>165.02</v>
      </c>
      <c r="F241" s="2">
        <v>157.91</v>
      </c>
      <c r="G241" s="3">
        <v>8068000</v>
      </c>
      <c r="I241">
        <f t="shared" si="3"/>
        <v>-1.63616531329542E-3</v>
      </c>
    </row>
    <row r="242" spans="1:9" ht="18" x14ac:dyDescent="0.2">
      <c r="A242" s="1">
        <v>45737</v>
      </c>
      <c r="B242" s="2">
        <v>164.49</v>
      </c>
      <c r="C242" s="2">
        <v>164.89</v>
      </c>
      <c r="D242" s="2">
        <v>163.11000000000001</v>
      </c>
      <c r="E242" s="2">
        <v>164.75</v>
      </c>
      <c r="F242" s="2">
        <v>157.66</v>
      </c>
      <c r="G242" s="3">
        <v>21625500</v>
      </c>
      <c r="I242">
        <f t="shared" si="3"/>
        <v>1.2139605462828669E-4</v>
      </c>
    </row>
    <row r="243" spans="1:9" ht="18" x14ac:dyDescent="0.2">
      <c r="A243" s="1">
        <v>45736</v>
      </c>
      <c r="B243" s="2">
        <v>163.13</v>
      </c>
      <c r="C243" s="2">
        <v>165.31</v>
      </c>
      <c r="D243" s="2">
        <v>162.41</v>
      </c>
      <c r="E243" s="2">
        <v>164.77</v>
      </c>
      <c r="F243" s="2">
        <v>157.66999999999999</v>
      </c>
      <c r="G243" s="3">
        <v>9545900</v>
      </c>
      <c r="I243">
        <f t="shared" si="3"/>
        <v>-4.3697274989379061E-3</v>
      </c>
    </row>
    <row r="244" spans="1:9" ht="18" x14ac:dyDescent="0.2">
      <c r="A244" s="1">
        <v>45735</v>
      </c>
      <c r="B244" s="2">
        <v>160.97</v>
      </c>
      <c r="C244" s="2">
        <v>164.54</v>
      </c>
      <c r="D244" s="2">
        <v>160.9</v>
      </c>
      <c r="E244" s="2">
        <v>164.05</v>
      </c>
      <c r="F244" s="2">
        <v>156.99</v>
      </c>
      <c r="G244" s="3">
        <v>11503900</v>
      </c>
      <c r="I244">
        <f t="shared" si="3"/>
        <v>-1.9750076196281677E-2</v>
      </c>
    </row>
    <row r="245" spans="1:9" ht="18" x14ac:dyDescent="0.2">
      <c r="A245" s="1">
        <v>45734</v>
      </c>
      <c r="B245" s="2">
        <v>159.74</v>
      </c>
      <c r="C245" s="2">
        <v>161.09</v>
      </c>
      <c r="D245" s="2">
        <v>158.82</v>
      </c>
      <c r="E245" s="2">
        <v>160.81</v>
      </c>
      <c r="F245" s="2">
        <v>153.88</v>
      </c>
      <c r="G245" s="3">
        <v>9289500</v>
      </c>
      <c r="I245">
        <f t="shared" si="3"/>
        <v>-1.299670418506314E-2</v>
      </c>
    </row>
    <row r="246" spans="1:9" ht="18" x14ac:dyDescent="0.2">
      <c r="A246" s="1">
        <v>45733</v>
      </c>
      <c r="B246" s="2">
        <v>157.22</v>
      </c>
      <c r="C246" s="2">
        <v>159.44999999999999</v>
      </c>
      <c r="D246" s="2">
        <v>156.76</v>
      </c>
      <c r="E246" s="2">
        <v>158.72</v>
      </c>
      <c r="F246" s="2">
        <v>151.88</v>
      </c>
      <c r="G246" s="3">
        <v>7615200</v>
      </c>
      <c r="I246">
        <f t="shared" si="3"/>
        <v>-1.0710685483870896E-2</v>
      </c>
    </row>
    <row r="247" spans="1:9" ht="18" x14ac:dyDescent="0.2">
      <c r="A247" s="1">
        <v>45730</v>
      </c>
      <c r="B247" s="2">
        <v>153.99</v>
      </c>
      <c r="C247" s="2">
        <v>157.24</v>
      </c>
      <c r="D247" s="2">
        <v>153.01</v>
      </c>
      <c r="E247" s="2">
        <v>157.02000000000001</v>
      </c>
      <c r="F247" s="2">
        <v>150.26</v>
      </c>
      <c r="G247" s="3">
        <v>6671500</v>
      </c>
      <c r="I247">
        <f t="shared" si="3"/>
        <v>-2.1716978728824332E-2</v>
      </c>
    </row>
    <row r="248" spans="1:9" ht="18" x14ac:dyDescent="0.2">
      <c r="A248" s="1">
        <v>45729</v>
      </c>
      <c r="B248" s="2">
        <v>152.26</v>
      </c>
      <c r="C248" s="2">
        <v>154.43</v>
      </c>
      <c r="D248" s="2">
        <v>151.91999999999999</v>
      </c>
      <c r="E248" s="2">
        <v>153.61000000000001</v>
      </c>
      <c r="F248" s="2">
        <v>146.99</v>
      </c>
      <c r="G248" s="3">
        <v>9022800</v>
      </c>
      <c r="I248">
        <f t="shared" si="3"/>
        <v>-6.1193932686675742E-3</v>
      </c>
    </row>
    <row r="249" spans="1:9" ht="18" x14ac:dyDescent="0.2">
      <c r="A249" s="1">
        <v>45728</v>
      </c>
      <c r="B249" s="2">
        <v>153.63999999999999</v>
      </c>
      <c r="C249" s="2">
        <v>154.79</v>
      </c>
      <c r="D249" s="2">
        <v>152.22</v>
      </c>
      <c r="E249" s="2">
        <v>152.66999999999999</v>
      </c>
      <c r="F249" s="2">
        <v>146.1</v>
      </c>
      <c r="G249" s="3">
        <v>9710200</v>
      </c>
      <c r="I249">
        <f t="shared" si="3"/>
        <v>9.2356062094715741E-3</v>
      </c>
    </row>
    <row r="250" spans="1:9" ht="18" x14ac:dyDescent="0.2">
      <c r="A250" s="1">
        <v>45727</v>
      </c>
      <c r="B250" s="2">
        <v>158.43</v>
      </c>
      <c r="C250" s="2">
        <v>158.84</v>
      </c>
      <c r="D250" s="2">
        <v>153.79</v>
      </c>
      <c r="E250" s="2">
        <v>154.08000000000001</v>
      </c>
      <c r="F250" s="2">
        <v>147.44</v>
      </c>
      <c r="G250" s="3">
        <v>10466300</v>
      </c>
      <c r="I250">
        <f t="shared" si="3"/>
        <v>2.2650571131879415E-2</v>
      </c>
    </row>
    <row r="251" spans="1:9" ht="18" x14ac:dyDescent="0.2">
      <c r="A251" s="1">
        <v>45726</v>
      </c>
      <c r="B251" s="2">
        <v>157.19</v>
      </c>
      <c r="C251" s="2">
        <v>160.37</v>
      </c>
      <c r="D251" s="2">
        <v>156.16999999999999</v>
      </c>
      <c r="E251" s="2">
        <v>157.57</v>
      </c>
      <c r="F251" s="2">
        <v>150.78</v>
      </c>
      <c r="G251" s="3">
        <v>11750300</v>
      </c>
      <c r="I251">
        <f t="shared" si="3"/>
        <v>-7.8060544519895272E-3</v>
      </c>
    </row>
    <row r="252" spans="1:9" ht="18" x14ac:dyDescent="0.2">
      <c r="A252" s="1">
        <v>45723</v>
      </c>
      <c r="B252" s="2">
        <v>153.94999999999999</v>
      </c>
      <c r="C252" s="2">
        <v>157.44999999999999</v>
      </c>
      <c r="D252" s="2">
        <v>153.71</v>
      </c>
      <c r="E252" s="2">
        <v>156.34</v>
      </c>
      <c r="F252" s="2">
        <v>149.61000000000001</v>
      </c>
      <c r="G252" s="3">
        <v>8562600</v>
      </c>
      <c r="I252">
        <f t="shared" si="3"/>
        <v>-2.1683510298068406E-2</v>
      </c>
    </row>
    <row r="253" spans="1:9" ht="18" x14ac:dyDescent="0.2">
      <c r="A253" s="1">
        <v>45722</v>
      </c>
      <c r="B253" s="2">
        <v>150.51</v>
      </c>
      <c r="C253" s="2">
        <v>153.33000000000001</v>
      </c>
      <c r="D253" s="2">
        <v>149.47</v>
      </c>
      <c r="E253" s="2">
        <v>152.94999999999999</v>
      </c>
      <c r="F253" s="2">
        <v>146.36000000000001</v>
      </c>
      <c r="G253" s="3">
        <v>7314700</v>
      </c>
      <c r="I253">
        <f t="shared" si="3"/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E52C-BAB8-2E4D-BBF0-B0DFE4E7CFBE}">
  <dimension ref="A1:K253"/>
  <sheetViews>
    <sheetView workbookViewId="0">
      <selection activeCell="F2" sqref="F2:F253"/>
    </sheetView>
  </sheetViews>
  <sheetFormatPr baseColWidth="10" defaultRowHeight="16" x14ac:dyDescent="0.2"/>
  <cols>
    <col min="1" max="1" width="12.6640625" bestFit="1" customWidth="1"/>
    <col min="2" max="6" width="11" bestFit="1" customWidth="1"/>
    <col min="7" max="7" width="13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</row>
    <row r="2" spans="1:11" ht="18" x14ac:dyDescent="0.2">
      <c r="A2" s="1">
        <v>46087</v>
      </c>
      <c r="B2" s="2">
        <v>105.38</v>
      </c>
      <c r="C2" s="2">
        <v>109.89</v>
      </c>
      <c r="D2" s="2">
        <v>104.53</v>
      </c>
      <c r="E2" s="2">
        <v>108.42</v>
      </c>
      <c r="F2" s="2">
        <v>108.42</v>
      </c>
      <c r="G2" s="3">
        <v>50165210</v>
      </c>
      <c r="I2">
        <f>(E3-E2)/E2</f>
        <v>-0.11169525917727356</v>
      </c>
      <c r="J2">
        <f>AVERAGE(E2, E250)</f>
        <v>89.935000000000002</v>
      </c>
      <c r="K2">
        <f>_xlfn.STDEV.S(E2, E250)</f>
        <v>26.141737700466606</v>
      </c>
    </row>
    <row r="3" spans="1:11" ht="18" x14ac:dyDescent="0.2">
      <c r="A3" s="1">
        <v>46086</v>
      </c>
      <c r="B3" s="2">
        <v>94.46</v>
      </c>
      <c r="C3" s="2">
        <v>98.83</v>
      </c>
      <c r="D3" s="2">
        <v>94.06</v>
      </c>
      <c r="E3" s="2">
        <v>96.31</v>
      </c>
      <c r="F3" s="2">
        <v>96.31</v>
      </c>
      <c r="G3" s="3">
        <v>47161500</v>
      </c>
      <c r="I3">
        <f t="shared" ref="I3:I66" si="0">(E4-E3)/E3</f>
        <v>-4.9319904475132383E-2</v>
      </c>
    </row>
    <row r="4" spans="1:11" ht="18" x14ac:dyDescent="0.2">
      <c r="A4" s="1">
        <v>46085</v>
      </c>
      <c r="B4" s="2">
        <v>90.22</v>
      </c>
      <c r="C4" s="2">
        <v>91.59</v>
      </c>
      <c r="D4" s="2">
        <v>89.11</v>
      </c>
      <c r="E4" s="2">
        <v>91.56</v>
      </c>
      <c r="F4" s="2">
        <v>91.56</v>
      </c>
      <c r="G4" s="3">
        <v>28457300</v>
      </c>
      <c r="I4">
        <f t="shared" si="0"/>
        <v>-1.4853647881170811E-2</v>
      </c>
    </row>
    <row r="5" spans="1:11" ht="18" x14ac:dyDescent="0.2">
      <c r="A5" s="1">
        <v>46084</v>
      </c>
      <c r="B5" s="2">
        <v>94.1</v>
      </c>
      <c r="C5" s="2">
        <v>94.37</v>
      </c>
      <c r="D5" s="2">
        <v>87.33</v>
      </c>
      <c r="E5" s="2">
        <v>90.2</v>
      </c>
      <c r="F5" s="2">
        <v>90.2</v>
      </c>
      <c r="G5" s="3">
        <v>50397900</v>
      </c>
      <c r="I5">
        <f t="shared" si="0"/>
        <v>-3.3370288248337085E-2</v>
      </c>
    </row>
    <row r="6" spans="1:11" ht="18" x14ac:dyDescent="0.2">
      <c r="A6" s="1">
        <v>46083</v>
      </c>
      <c r="B6" s="2">
        <v>87.62</v>
      </c>
      <c r="C6" s="2">
        <v>88.64</v>
      </c>
      <c r="D6" s="2">
        <v>83.2</v>
      </c>
      <c r="E6" s="2">
        <v>87.19</v>
      </c>
      <c r="F6" s="2">
        <v>87.19</v>
      </c>
      <c r="G6" s="3">
        <v>41780500</v>
      </c>
      <c r="I6">
        <f t="shared" si="0"/>
        <v>-6.0098635164583039E-2</v>
      </c>
    </row>
    <row r="7" spans="1:11" ht="18" x14ac:dyDescent="0.2">
      <c r="A7" s="1">
        <v>46080</v>
      </c>
      <c r="B7" s="2">
        <v>82</v>
      </c>
      <c r="C7" s="2">
        <v>82.12</v>
      </c>
      <c r="D7" s="2">
        <v>80.58</v>
      </c>
      <c r="E7" s="2">
        <v>81.95</v>
      </c>
      <c r="F7" s="2">
        <v>81.95</v>
      </c>
      <c r="G7" s="3">
        <v>12164700</v>
      </c>
      <c r="I7">
        <f t="shared" si="0"/>
        <v>-2.6601586333130041E-2</v>
      </c>
    </row>
    <row r="8" spans="1:11" ht="18" x14ac:dyDescent="0.2">
      <c r="A8" s="1">
        <v>46079</v>
      </c>
      <c r="B8" s="2">
        <v>78.150000000000006</v>
      </c>
      <c r="C8" s="2">
        <v>81.239999999999995</v>
      </c>
      <c r="D8" s="2">
        <v>78.040000000000006</v>
      </c>
      <c r="E8" s="2">
        <v>79.77</v>
      </c>
      <c r="F8" s="2">
        <v>79.77</v>
      </c>
      <c r="G8" s="3">
        <v>18725900</v>
      </c>
      <c r="I8">
        <f t="shared" si="0"/>
        <v>-5.0144164472849502E-4</v>
      </c>
    </row>
    <row r="9" spans="1:11" ht="18" x14ac:dyDescent="0.2">
      <c r="A9" s="1">
        <v>46078</v>
      </c>
      <c r="B9" s="2">
        <v>80.099999999999994</v>
      </c>
      <c r="C9" s="2">
        <v>80.14</v>
      </c>
      <c r="D9" s="2">
        <v>79.319999999999993</v>
      </c>
      <c r="E9" s="2">
        <v>79.73</v>
      </c>
      <c r="F9" s="2">
        <v>79.73</v>
      </c>
      <c r="G9" s="3">
        <v>6547300</v>
      </c>
      <c r="I9">
        <f t="shared" si="0"/>
        <v>1.2918600275931282E-2</v>
      </c>
    </row>
    <row r="10" spans="1:11" ht="18" x14ac:dyDescent="0.2">
      <c r="A10" s="1">
        <v>46077</v>
      </c>
      <c r="B10" s="2">
        <v>81.19</v>
      </c>
      <c r="C10" s="2">
        <v>81.22</v>
      </c>
      <c r="D10" s="2">
        <v>79.8</v>
      </c>
      <c r="E10" s="2">
        <v>80.760000000000005</v>
      </c>
      <c r="F10" s="2">
        <v>80.760000000000005</v>
      </c>
      <c r="G10" s="3">
        <v>10649500</v>
      </c>
      <c r="I10">
        <f t="shared" si="0"/>
        <v>1.7335314512134789E-3</v>
      </c>
    </row>
    <row r="11" spans="1:11" ht="18" x14ac:dyDescent="0.2">
      <c r="A11" s="1">
        <v>46076</v>
      </c>
      <c r="B11" s="2">
        <v>81.489999999999995</v>
      </c>
      <c r="C11" s="2">
        <v>81.92</v>
      </c>
      <c r="D11" s="2">
        <v>80.5</v>
      </c>
      <c r="E11" s="2">
        <v>80.900000000000006</v>
      </c>
      <c r="F11" s="2">
        <v>80.900000000000006</v>
      </c>
      <c r="G11" s="3">
        <v>5941200</v>
      </c>
      <c r="I11">
        <f t="shared" si="0"/>
        <v>-6.1804697156997977E-4</v>
      </c>
    </row>
    <row r="12" spans="1:11" ht="18" x14ac:dyDescent="0.2">
      <c r="A12" s="1">
        <v>46073</v>
      </c>
      <c r="B12" s="2">
        <v>80.540000000000006</v>
      </c>
      <c r="C12" s="2">
        <v>81.239999999999995</v>
      </c>
      <c r="D12" s="2">
        <v>80.17</v>
      </c>
      <c r="E12" s="2">
        <v>80.849999999999994</v>
      </c>
      <c r="F12" s="2">
        <v>80.849999999999994</v>
      </c>
      <c r="G12" s="3">
        <v>9427300</v>
      </c>
      <c r="I12">
        <f t="shared" si="0"/>
        <v>4.205318491032819E-3</v>
      </c>
    </row>
    <row r="13" spans="1:11" ht="18" x14ac:dyDescent="0.2">
      <c r="A13" s="1">
        <v>46072</v>
      </c>
      <c r="B13" s="2">
        <v>80.430000000000007</v>
      </c>
      <c r="C13" s="2">
        <v>81.27</v>
      </c>
      <c r="D13" s="2">
        <v>79.69</v>
      </c>
      <c r="E13" s="2">
        <v>81.19</v>
      </c>
      <c r="F13" s="2">
        <v>81.19</v>
      </c>
      <c r="G13" s="3">
        <v>11768000</v>
      </c>
      <c r="I13">
        <f t="shared" si="0"/>
        <v>-2.2047050129326173E-2</v>
      </c>
    </row>
    <row r="14" spans="1:11" ht="18" x14ac:dyDescent="0.2">
      <c r="A14" s="1">
        <v>46071</v>
      </c>
      <c r="B14" s="2">
        <v>77.92</v>
      </c>
      <c r="C14" s="2">
        <v>79.63</v>
      </c>
      <c r="D14" s="2">
        <v>77.849999999999994</v>
      </c>
      <c r="E14" s="2">
        <v>79.400000000000006</v>
      </c>
      <c r="F14" s="2">
        <v>79.400000000000006</v>
      </c>
      <c r="G14" s="3">
        <v>10251400</v>
      </c>
      <c r="I14">
        <f t="shared" si="0"/>
        <v>-4.622166246851387E-2</v>
      </c>
    </row>
    <row r="15" spans="1:11" ht="18" x14ac:dyDescent="0.2">
      <c r="A15" s="1">
        <v>46070</v>
      </c>
      <c r="B15" s="2">
        <v>76.209999999999994</v>
      </c>
      <c r="C15" s="2">
        <v>76.48</v>
      </c>
      <c r="D15" s="2">
        <v>75.180000000000007</v>
      </c>
      <c r="E15" s="2">
        <v>75.73</v>
      </c>
      <c r="F15" s="2">
        <v>75.73</v>
      </c>
      <c r="G15" s="3">
        <v>9329600</v>
      </c>
      <c r="I15">
        <f t="shared" si="0"/>
        <v>6.4703552092961157E-3</v>
      </c>
    </row>
    <row r="16" spans="1:11" ht="18" x14ac:dyDescent="0.2">
      <c r="A16" s="1">
        <v>46066</v>
      </c>
      <c r="B16" s="2">
        <v>76.12</v>
      </c>
      <c r="C16" s="2">
        <v>76.72</v>
      </c>
      <c r="D16" s="2">
        <v>75.66</v>
      </c>
      <c r="E16" s="2">
        <v>76.22</v>
      </c>
      <c r="F16" s="2">
        <v>76.22</v>
      </c>
      <c r="G16" s="3">
        <v>6172200</v>
      </c>
      <c r="I16">
        <f t="shared" si="0"/>
        <v>2.0991865652059379E-3</v>
      </c>
    </row>
    <row r="17" spans="1:9" ht="18" x14ac:dyDescent="0.2">
      <c r="A17" s="1">
        <v>46065</v>
      </c>
      <c r="B17" s="2">
        <v>78</v>
      </c>
      <c r="C17" s="2">
        <v>78.069999999999993</v>
      </c>
      <c r="D17" s="2">
        <v>75.709999999999994</v>
      </c>
      <c r="E17" s="2">
        <v>76.38</v>
      </c>
      <c r="F17" s="2">
        <v>76.38</v>
      </c>
      <c r="G17" s="3">
        <v>7442600</v>
      </c>
      <c r="I17">
        <f t="shared" si="0"/>
        <v>3.2862005760670401E-2</v>
      </c>
    </row>
    <row r="18" spans="1:9" ht="18" x14ac:dyDescent="0.2">
      <c r="A18" s="1">
        <v>46064</v>
      </c>
      <c r="B18" s="2">
        <v>79.680000000000007</v>
      </c>
      <c r="C18" s="2">
        <v>79.83</v>
      </c>
      <c r="D18" s="2">
        <v>78.239999999999995</v>
      </c>
      <c r="E18" s="2">
        <v>78.89</v>
      </c>
      <c r="F18" s="2">
        <v>78.89</v>
      </c>
      <c r="G18" s="3">
        <v>10313100</v>
      </c>
      <c r="I18">
        <f t="shared" si="0"/>
        <v>-1.0901254911902643E-2</v>
      </c>
    </row>
    <row r="19" spans="1:9" ht="18" x14ac:dyDescent="0.2">
      <c r="A19" s="1">
        <v>46063</v>
      </c>
      <c r="B19" s="2">
        <v>78.3</v>
      </c>
      <c r="C19" s="2">
        <v>78.44</v>
      </c>
      <c r="D19" s="2">
        <v>77.28</v>
      </c>
      <c r="E19" s="2">
        <v>78.03</v>
      </c>
      <c r="F19" s="2">
        <v>78.03</v>
      </c>
      <c r="G19" s="3">
        <v>6542000</v>
      </c>
      <c r="I19">
        <f t="shared" si="0"/>
        <v>-1.2815583749846361E-4</v>
      </c>
    </row>
    <row r="20" spans="1:9" ht="18" x14ac:dyDescent="0.2">
      <c r="A20" s="1">
        <v>46062</v>
      </c>
      <c r="B20" s="2">
        <v>76.83</v>
      </c>
      <c r="C20" s="2">
        <v>78.63</v>
      </c>
      <c r="D20" s="2">
        <v>76.790000000000006</v>
      </c>
      <c r="E20" s="2">
        <v>78.02</v>
      </c>
      <c r="F20" s="2">
        <v>78.02</v>
      </c>
      <c r="G20" s="3">
        <v>3201100</v>
      </c>
      <c r="I20">
        <f t="shared" si="0"/>
        <v>-1.3201743142783917E-2</v>
      </c>
    </row>
    <row r="21" spans="1:9" ht="18" x14ac:dyDescent="0.2">
      <c r="A21" s="1">
        <v>46059</v>
      </c>
      <c r="B21" s="2">
        <v>76.239999999999995</v>
      </c>
      <c r="C21" s="2">
        <v>77.989999999999995</v>
      </c>
      <c r="D21" s="2">
        <v>76.17</v>
      </c>
      <c r="E21" s="2">
        <v>76.989999999999995</v>
      </c>
      <c r="F21" s="2">
        <v>76.989999999999995</v>
      </c>
      <c r="G21" s="3">
        <v>6661500</v>
      </c>
      <c r="I21">
        <f t="shared" si="0"/>
        <v>-3.896609949344034E-3</v>
      </c>
    </row>
    <row r="22" spans="1:9" ht="18" x14ac:dyDescent="0.2">
      <c r="A22" s="1">
        <v>46058</v>
      </c>
      <c r="B22" s="2">
        <v>76.86</v>
      </c>
      <c r="C22" s="2">
        <v>77.31</v>
      </c>
      <c r="D22" s="2">
        <v>75.88</v>
      </c>
      <c r="E22" s="2">
        <v>76.69</v>
      </c>
      <c r="F22" s="2">
        <v>76.69</v>
      </c>
      <c r="G22" s="3">
        <v>5989500</v>
      </c>
      <c r="I22">
        <f t="shared" si="0"/>
        <v>1.5517016560177309E-2</v>
      </c>
    </row>
    <row r="23" spans="1:9" ht="18" x14ac:dyDescent="0.2">
      <c r="A23" s="1">
        <v>46057</v>
      </c>
      <c r="B23" s="2">
        <v>76.52</v>
      </c>
      <c r="C23" s="2">
        <v>79.37</v>
      </c>
      <c r="D23" s="2">
        <v>76.2</v>
      </c>
      <c r="E23" s="2">
        <v>77.88</v>
      </c>
      <c r="F23" s="2">
        <v>77.88</v>
      </c>
      <c r="G23" s="3">
        <v>17514900</v>
      </c>
      <c r="I23">
        <f t="shared" si="0"/>
        <v>-5.2645095017975936E-3</v>
      </c>
    </row>
    <row r="24" spans="1:9" ht="18" x14ac:dyDescent="0.2">
      <c r="A24" s="1">
        <v>46056</v>
      </c>
      <c r="B24" s="2">
        <v>75.849999999999994</v>
      </c>
      <c r="C24" s="2">
        <v>77.64</v>
      </c>
      <c r="D24" s="2">
        <v>75.64</v>
      </c>
      <c r="E24" s="2">
        <v>77.47</v>
      </c>
      <c r="F24" s="2">
        <v>77.47</v>
      </c>
      <c r="G24" s="3">
        <v>10887400</v>
      </c>
      <c r="I24">
        <f t="shared" si="0"/>
        <v>-2.7623596230799026E-2</v>
      </c>
    </row>
    <row r="25" spans="1:9" ht="18" x14ac:dyDescent="0.2">
      <c r="A25" s="1">
        <v>46055</v>
      </c>
      <c r="B25" s="2">
        <v>75.5</v>
      </c>
      <c r="C25" s="2">
        <v>75.67</v>
      </c>
      <c r="D25" s="2">
        <v>74.459999999999994</v>
      </c>
      <c r="E25" s="2">
        <v>75.33</v>
      </c>
      <c r="F25" s="2">
        <v>75.33</v>
      </c>
      <c r="G25" s="3">
        <v>8544400</v>
      </c>
      <c r="I25">
        <f t="shared" si="0"/>
        <v>5.562193017390147E-2</v>
      </c>
    </row>
    <row r="26" spans="1:9" ht="18" x14ac:dyDescent="0.2">
      <c r="A26" s="1">
        <v>46052</v>
      </c>
      <c r="B26" s="2">
        <v>79.44</v>
      </c>
      <c r="C26" s="2">
        <v>79.95</v>
      </c>
      <c r="D26" s="2">
        <v>77.650000000000006</v>
      </c>
      <c r="E26" s="2">
        <v>79.52</v>
      </c>
      <c r="F26" s="2">
        <v>79.52</v>
      </c>
      <c r="G26" s="3">
        <v>11586200</v>
      </c>
      <c r="I26">
        <f t="shared" si="0"/>
        <v>-4.7786720321931018E-3</v>
      </c>
    </row>
    <row r="27" spans="1:9" ht="18" x14ac:dyDescent="0.2">
      <c r="A27" s="1">
        <v>46051</v>
      </c>
      <c r="B27" s="2">
        <v>80.11</v>
      </c>
      <c r="C27" s="2">
        <v>80.38</v>
      </c>
      <c r="D27" s="2">
        <v>78.17</v>
      </c>
      <c r="E27" s="2">
        <v>79.14</v>
      </c>
      <c r="F27" s="2">
        <v>79.14</v>
      </c>
      <c r="G27" s="3">
        <v>13188800</v>
      </c>
      <c r="I27">
        <f t="shared" si="0"/>
        <v>-3.1842304776345663E-2</v>
      </c>
    </row>
    <row r="28" spans="1:9" ht="18" x14ac:dyDescent="0.2">
      <c r="A28" s="1">
        <v>46050</v>
      </c>
      <c r="B28" s="2">
        <v>76.260000000000005</v>
      </c>
      <c r="C28" s="2">
        <v>76.739999999999995</v>
      </c>
      <c r="D28" s="2">
        <v>75.63</v>
      </c>
      <c r="E28" s="2">
        <v>76.62</v>
      </c>
      <c r="F28" s="2">
        <v>76.62</v>
      </c>
      <c r="G28" s="3">
        <v>6508700</v>
      </c>
      <c r="I28">
        <f t="shared" si="0"/>
        <v>-1.2529365700861496E-2</v>
      </c>
    </row>
    <row r="29" spans="1:9" ht="18" x14ac:dyDescent="0.2">
      <c r="A29" s="1">
        <v>46049</v>
      </c>
      <c r="B29" s="2">
        <v>73.95</v>
      </c>
      <c r="C29" s="2">
        <v>75.709999999999994</v>
      </c>
      <c r="D29" s="2">
        <v>73.69</v>
      </c>
      <c r="E29" s="2">
        <v>75.66</v>
      </c>
      <c r="F29" s="2">
        <v>75.66</v>
      </c>
      <c r="G29" s="3">
        <v>6164600</v>
      </c>
      <c r="I29">
        <f t="shared" si="0"/>
        <v>-2.8813111287337996E-2</v>
      </c>
    </row>
    <row r="30" spans="1:9" ht="18" x14ac:dyDescent="0.2">
      <c r="A30" s="1">
        <v>46048</v>
      </c>
      <c r="B30" s="2">
        <v>73.36</v>
      </c>
      <c r="C30" s="2">
        <v>73.77</v>
      </c>
      <c r="D30" s="2">
        <v>72.94</v>
      </c>
      <c r="E30" s="2">
        <v>73.48</v>
      </c>
      <c r="F30" s="2">
        <v>73.48</v>
      </c>
      <c r="G30" s="3">
        <v>4486300</v>
      </c>
      <c r="I30">
        <f t="shared" si="0"/>
        <v>6.396298312465961E-3</v>
      </c>
    </row>
    <row r="31" spans="1:9" ht="18" x14ac:dyDescent="0.2">
      <c r="A31" s="1">
        <v>46045</v>
      </c>
      <c r="B31" s="2">
        <v>73.760000000000005</v>
      </c>
      <c r="C31" s="2">
        <v>74.05</v>
      </c>
      <c r="D31" s="2">
        <v>73.38</v>
      </c>
      <c r="E31" s="2">
        <v>73.95</v>
      </c>
      <c r="F31" s="2">
        <v>73.95</v>
      </c>
      <c r="G31" s="3">
        <v>5427600</v>
      </c>
      <c r="I31">
        <f t="shared" si="0"/>
        <v>-2.8803245436105605E-2</v>
      </c>
    </row>
    <row r="32" spans="1:9" ht="18" x14ac:dyDescent="0.2">
      <c r="A32" s="1">
        <v>46044</v>
      </c>
      <c r="B32" s="2">
        <v>72.430000000000007</v>
      </c>
      <c r="C32" s="2">
        <v>72.5</v>
      </c>
      <c r="D32" s="2">
        <v>71.27</v>
      </c>
      <c r="E32" s="2">
        <v>71.819999999999993</v>
      </c>
      <c r="F32" s="2">
        <v>71.819999999999993</v>
      </c>
      <c r="G32" s="3">
        <v>4973400</v>
      </c>
      <c r="I32">
        <f t="shared" si="0"/>
        <v>2.1164021164021309E-2</v>
      </c>
    </row>
    <row r="33" spans="1:9" ht="18" x14ac:dyDescent="0.2">
      <c r="A33" s="1">
        <v>46043</v>
      </c>
      <c r="B33" s="2">
        <v>72.84</v>
      </c>
      <c r="C33" s="2">
        <v>73.459999999999994</v>
      </c>
      <c r="D33" s="2">
        <v>72.599999999999994</v>
      </c>
      <c r="E33" s="2">
        <v>73.34</v>
      </c>
      <c r="F33" s="2">
        <v>73.34</v>
      </c>
      <c r="G33" s="3">
        <v>4291300</v>
      </c>
      <c r="I33">
        <f t="shared" si="0"/>
        <v>-2.0179983637851159E-2</v>
      </c>
    </row>
    <row r="34" spans="1:9" ht="18" x14ac:dyDescent="0.2">
      <c r="A34" s="1">
        <v>46042</v>
      </c>
      <c r="B34" s="2">
        <v>72.8</v>
      </c>
      <c r="C34" s="2">
        <v>73.13</v>
      </c>
      <c r="D34" s="2">
        <v>71.709999999999994</v>
      </c>
      <c r="E34" s="2">
        <v>71.86</v>
      </c>
      <c r="F34" s="2">
        <v>71.86</v>
      </c>
      <c r="G34" s="3">
        <v>7577200</v>
      </c>
      <c r="I34">
        <f t="shared" si="0"/>
        <v>-2.9223490119676281E-3</v>
      </c>
    </row>
    <row r="35" spans="1:9" ht="18" x14ac:dyDescent="0.2">
      <c r="A35" s="1">
        <v>46038</v>
      </c>
      <c r="B35" s="2">
        <v>72.3</v>
      </c>
      <c r="C35" s="2">
        <v>72.52</v>
      </c>
      <c r="D35" s="2">
        <v>71.569999999999993</v>
      </c>
      <c r="E35" s="2">
        <v>71.650000000000006</v>
      </c>
      <c r="F35" s="2">
        <v>71.650000000000006</v>
      </c>
      <c r="G35" s="3">
        <v>4492100</v>
      </c>
      <c r="I35">
        <f t="shared" si="0"/>
        <v>-7.2575017445919076E-3</v>
      </c>
    </row>
    <row r="36" spans="1:9" ht="18" x14ac:dyDescent="0.2">
      <c r="A36" s="1">
        <v>46037</v>
      </c>
      <c r="B36" s="2">
        <v>71.599999999999994</v>
      </c>
      <c r="C36" s="2">
        <v>71.709999999999994</v>
      </c>
      <c r="D36" s="2">
        <v>71</v>
      </c>
      <c r="E36" s="2">
        <v>71.13</v>
      </c>
      <c r="F36" s="2">
        <v>71.13</v>
      </c>
      <c r="G36" s="3">
        <v>4748400</v>
      </c>
      <c r="I36">
        <f t="shared" si="0"/>
        <v>2.0806973147757684E-2</v>
      </c>
    </row>
    <row r="37" spans="1:9" ht="18" x14ac:dyDescent="0.2">
      <c r="A37" s="1">
        <v>46036</v>
      </c>
      <c r="B37" s="2">
        <v>74.260000000000005</v>
      </c>
      <c r="C37" s="2">
        <v>75.16</v>
      </c>
      <c r="D37" s="2">
        <v>71.41</v>
      </c>
      <c r="E37" s="2">
        <v>72.61</v>
      </c>
      <c r="F37" s="2">
        <v>72.61</v>
      </c>
      <c r="G37" s="3">
        <v>17618100</v>
      </c>
      <c r="I37">
        <f t="shared" si="0"/>
        <v>1.1981820685856005E-2</v>
      </c>
    </row>
    <row r="38" spans="1:9" ht="18" x14ac:dyDescent="0.2">
      <c r="A38" s="1">
        <v>46035</v>
      </c>
      <c r="B38" s="2">
        <v>72.78</v>
      </c>
      <c r="C38" s="2">
        <v>73.94</v>
      </c>
      <c r="D38" s="2">
        <v>72.75</v>
      </c>
      <c r="E38" s="2">
        <v>73.48</v>
      </c>
      <c r="F38" s="2">
        <v>73.48</v>
      </c>
      <c r="G38" s="3">
        <v>10694200</v>
      </c>
      <c r="I38">
        <f t="shared" si="0"/>
        <v>-2.4904735982580268E-2</v>
      </c>
    </row>
    <row r="39" spans="1:9" ht="18" x14ac:dyDescent="0.2">
      <c r="A39" s="1">
        <v>46034</v>
      </c>
      <c r="B39" s="2">
        <v>70.959999999999994</v>
      </c>
      <c r="C39" s="2">
        <v>72</v>
      </c>
      <c r="D39" s="2">
        <v>70.47</v>
      </c>
      <c r="E39" s="2">
        <v>71.650000000000006</v>
      </c>
      <c r="F39" s="2">
        <v>71.650000000000006</v>
      </c>
      <c r="G39" s="3">
        <v>5703400</v>
      </c>
      <c r="I39">
        <f t="shared" si="0"/>
        <v>-1.2142358688067055E-2</v>
      </c>
    </row>
    <row r="40" spans="1:9" ht="18" x14ac:dyDescent="0.2">
      <c r="A40" s="1">
        <v>46031</v>
      </c>
      <c r="B40" s="2">
        <v>70.88</v>
      </c>
      <c r="C40" s="2">
        <v>71.94</v>
      </c>
      <c r="D40" s="2">
        <v>70.77</v>
      </c>
      <c r="E40" s="2">
        <v>70.78</v>
      </c>
      <c r="F40" s="2">
        <v>70.78</v>
      </c>
      <c r="G40" s="3">
        <v>5925100</v>
      </c>
      <c r="I40">
        <f t="shared" si="0"/>
        <v>-3.3907883582932311E-3</v>
      </c>
    </row>
    <row r="41" spans="1:9" ht="18" x14ac:dyDescent="0.2">
      <c r="A41" s="1">
        <v>46030</v>
      </c>
      <c r="B41" s="2">
        <v>68.790000000000006</v>
      </c>
      <c r="C41" s="2">
        <v>70.650000000000006</v>
      </c>
      <c r="D41" s="2">
        <v>68.39</v>
      </c>
      <c r="E41" s="2">
        <v>70.540000000000006</v>
      </c>
      <c r="F41" s="2">
        <v>70.540000000000006</v>
      </c>
      <c r="G41" s="3">
        <v>6558600</v>
      </c>
      <c r="I41">
        <f t="shared" si="0"/>
        <v>-3.8984973064927694E-2</v>
      </c>
    </row>
    <row r="42" spans="1:9" ht="18" x14ac:dyDescent="0.2">
      <c r="A42" s="1">
        <v>46029</v>
      </c>
      <c r="B42" s="2">
        <v>68.239999999999995</v>
      </c>
      <c r="C42" s="2">
        <v>68.31</v>
      </c>
      <c r="D42" s="2">
        <v>67.349999999999994</v>
      </c>
      <c r="E42" s="2">
        <v>67.790000000000006</v>
      </c>
      <c r="F42" s="2">
        <v>67.790000000000006</v>
      </c>
      <c r="G42" s="3">
        <v>5317500</v>
      </c>
      <c r="I42">
        <f t="shared" si="0"/>
        <v>1.0621035550966201E-2</v>
      </c>
    </row>
    <row r="43" spans="1:9" ht="18" x14ac:dyDescent="0.2">
      <c r="A43" s="1">
        <v>46028</v>
      </c>
      <c r="B43" s="2">
        <v>70.599999999999994</v>
      </c>
      <c r="C43" s="2">
        <v>70.739999999999995</v>
      </c>
      <c r="D43" s="2">
        <v>68.459999999999994</v>
      </c>
      <c r="E43" s="2">
        <v>68.510000000000005</v>
      </c>
      <c r="F43" s="2">
        <v>68.510000000000005</v>
      </c>
      <c r="G43" s="3">
        <v>5432900</v>
      </c>
      <c r="I43">
        <f t="shared" si="0"/>
        <v>2.4959859874470788E-2</v>
      </c>
    </row>
    <row r="44" spans="1:9" ht="18" x14ac:dyDescent="0.2">
      <c r="A44" s="1">
        <v>46027</v>
      </c>
      <c r="B44" s="2">
        <v>69.73</v>
      </c>
      <c r="C44" s="2">
        <v>70.400000000000006</v>
      </c>
      <c r="D44" s="2">
        <v>69.23</v>
      </c>
      <c r="E44" s="2">
        <v>70.22</v>
      </c>
      <c r="F44" s="2">
        <v>70.22</v>
      </c>
      <c r="G44" s="3">
        <v>4987100</v>
      </c>
      <c r="I44">
        <f t="shared" si="0"/>
        <v>-1.7943605810310525E-2</v>
      </c>
    </row>
    <row r="45" spans="1:9" ht="18" x14ac:dyDescent="0.2">
      <c r="A45" s="1">
        <v>46024</v>
      </c>
      <c r="B45" s="2">
        <v>68.430000000000007</v>
      </c>
      <c r="C45" s="2">
        <v>69.150000000000006</v>
      </c>
      <c r="D45" s="2">
        <v>68.150000000000006</v>
      </c>
      <c r="E45" s="2">
        <v>68.959999999999994</v>
      </c>
      <c r="F45" s="2">
        <v>68.959999999999994</v>
      </c>
      <c r="G45" s="3">
        <v>5012300</v>
      </c>
      <c r="I45">
        <f t="shared" si="0"/>
        <v>2.9002320185615264E-3</v>
      </c>
    </row>
    <row r="46" spans="1:9" ht="18" x14ac:dyDescent="0.2">
      <c r="A46" s="1">
        <v>46022</v>
      </c>
      <c r="B46" s="2">
        <v>70.2</v>
      </c>
      <c r="C46" s="2">
        <v>70.260000000000005</v>
      </c>
      <c r="D46" s="2">
        <v>68.849999999999994</v>
      </c>
      <c r="E46" s="2">
        <v>69.16</v>
      </c>
      <c r="F46" s="2">
        <v>69.16</v>
      </c>
      <c r="G46" s="3">
        <v>2218700</v>
      </c>
      <c r="I46">
        <f t="shared" si="0"/>
        <v>8.3863504916136256E-3</v>
      </c>
    </row>
    <row r="47" spans="1:9" ht="18" x14ac:dyDescent="0.2">
      <c r="A47" s="1">
        <v>46021</v>
      </c>
      <c r="B47" s="2">
        <v>70.28</v>
      </c>
      <c r="C47" s="2">
        <v>70.33</v>
      </c>
      <c r="D47" s="2">
        <v>69.650000000000006</v>
      </c>
      <c r="E47" s="2">
        <v>69.739999999999995</v>
      </c>
      <c r="F47" s="2">
        <v>69.739999999999995</v>
      </c>
      <c r="G47" s="3">
        <v>2324200</v>
      </c>
      <c r="I47">
        <f t="shared" si="0"/>
        <v>-1.8640665328361838E-3</v>
      </c>
    </row>
    <row r="48" spans="1:9" ht="18" x14ac:dyDescent="0.2">
      <c r="A48" s="1">
        <v>46020</v>
      </c>
      <c r="B48" s="2">
        <v>69.849999999999994</v>
      </c>
      <c r="C48" s="2">
        <v>70.13</v>
      </c>
      <c r="D48" s="2">
        <v>69.569999999999993</v>
      </c>
      <c r="E48" s="2">
        <v>69.61</v>
      </c>
      <c r="F48" s="2">
        <v>69.61</v>
      </c>
      <c r="G48" s="3">
        <v>2758000</v>
      </c>
      <c r="I48">
        <f t="shared" si="0"/>
        <v>-1.6233299813245158E-2</v>
      </c>
    </row>
    <row r="49" spans="1:9" ht="18" x14ac:dyDescent="0.2">
      <c r="A49" s="1">
        <v>46017</v>
      </c>
      <c r="B49" s="2">
        <v>69.66</v>
      </c>
      <c r="C49" s="2">
        <v>69.760000000000005</v>
      </c>
      <c r="D49" s="2">
        <v>68.180000000000007</v>
      </c>
      <c r="E49" s="2">
        <v>68.48</v>
      </c>
      <c r="F49" s="2">
        <v>68.48</v>
      </c>
      <c r="G49" s="3">
        <v>4224500</v>
      </c>
      <c r="I49">
        <f t="shared" si="0"/>
        <v>2.5116822429906524E-2</v>
      </c>
    </row>
    <row r="50" spans="1:9" ht="18" x14ac:dyDescent="0.2">
      <c r="A50" s="1">
        <v>46015</v>
      </c>
      <c r="B50" s="2">
        <v>70.47</v>
      </c>
      <c r="C50" s="2">
        <v>70.58</v>
      </c>
      <c r="D50" s="2">
        <v>69.94</v>
      </c>
      <c r="E50" s="2">
        <v>70.2</v>
      </c>
      <c r="F50" s="2">
        <v>70.2</v>
      </c>
      <c r="G50" s="3">
        <v>1596400</v>
      </c>
      <c r="I50">
        <f t="shared" si="0"/>
        <v>1.4245014245013435E-3</v>
      </c>
    </row>
    <row r="51" spans="1:9" ht="18" x14ac:dyDescent="0.2">
      <c r="A51" s="1">
        <v>46014</v>
      </c>
      <c r="B51" s="2">
        <v>69.62</v>
      </c>
      <c r="C51" s="2">
        <v>70.36</v>
      </c>
      <c r="D51" s="2">
        <v>69.45</v>
      </c>
      <c r="E51" s="2">
        <v>70.3</v>
      </c>
      <c r="F51" s="2">
        <v>70.3</v>
      </c>
      <c r="G51" s="3">
        <v>3517300</v>
      </c>
      <c r="I51">
        <f t="shared" si="0"/>
        <v>-8.1081081081080114E-3</v>
      </c>
    </row>
    <row r="52" spans="1:9" ht="18" x14ac:dyDescent="0.2">
      <c r="A52" s="1">
        <v>46013</v>
      </c>
      <c r="B52" s="2">
        <v>69.56</v>
      </c>
      <c r="C52" s="2">
        <v>69.849999999999994</v>
      </c>
      <c r="D52" s="2">
        <v>69.22</v>
      </c>
      <c r="E52" s="2">
        <v>69.73</v>
      </c>
      <c r="F52" s="2">
        <v>69.73</v>
      </c>
      <c r="G52" s="3">
        <v>4491500</v>
      </c>
      <c r="I52">
        <f t="shared" si="0"/>
        <v>-2.4379750466083504E-2</v>
      </c>
    </row>
    <row r="53" spans="1:9" ht="18" x14ac:dyDescent="0.2">
      <c r="A53" s="1">
        <v>46010</v>
      </c>
      <c r="B53" s="2">
        <v>67.739999999999995</v>
      </c>
      <c r="C53" s="2">
        <v>68.2</v>
      </c>
      <c r="D53" s="2">
        <v>67.44</v>
      </c>
      <c r="E53" s="2">
        <v>68.03</v>
      </c>
      <c r="F53" s="2">
        <v>68.03</v>
      </c>
      <c r="G53" s="3">
        <v>4003300</v>
      </c>
      <c r="I53">
        <f t="shared" si="0"/>
        <v>-1.2347493752756187E-2</v>
      </c>
    </row>
    <row r="54" spans="1:9" ht="18" x14ac:dyDescent="0.2">
      <c r="A54" s="1">
        <v>46009</v>
      </c>
      <c r="B54" s="2">
        <v>67.77</v>
      </c>
      <c r="C54" s="2">
        <v>67.94</v>
      </c>
      <c r="D54" s="2">
        <v>67.099999999999994</v>
      </c>
      <c r="E54" s="2">
        <v>67.19</v>
      </c>
      <c r="F54" s="2">
        <v>67.19</v>
      </c>
      <c r="G54" s="3">
        <v>4713800</v>
      </c>
      <c r="I54">
        <f t="shared" si="0"/>
        <v>1.1757702038993992E-2</v>
      </c>
    </row>
    <row r="55" spans="1:9" ht="18" x14ac:dyDescent="0.2">
      <c r="A55" s="1">
        <v>46008</v>
      </c>
      <c r="B55" s="2">
        <v>67.22</v>
      </c>
      <c r="C55" s="2">
        <v>68.06</v>
      </c>
      <c r="D55" s="2">
        <v>66.83</v>
      </c>
      <c r="E55" s="2">
        <v>67.98</v>
      </c>
      <c r="F55" s="2">
        <v>67.98</v>
      </c>
      <c r="G55" s="3">
        <v>7398000</v>
      </c>
      <c r="I55">
        <f t="shared" si="0"/>
        <v>-2.6625478081788792E-2</v>
      </c>
    </row>
    <row r="56" spans="1:9" ht="18" x14ac:dyDescent="0.2">
      <c r="A56" s="1">
        <v>46007</v>
      </c>
      <c r="B56" s="2">
        <v>66.75</v>
      </c>
      <c r="C56" s="2">
        <v>66.78</v>
      </c>
      <c r="D56" s="2">
        <v>65.989999999999995</v>
      </c>
      <c r="E56" s="2">
        <v>66.17</v>
      </c>
      <c r="F56" s="2">
        <v>66.17</v>
      </c>
      <c r="G56" s="3">
        <v>6816100</v>
      </c>
      <c r="I56">
        <f t="shared" si="0"/>
        <v>2.5993652712709668E-2</v>
      </c>
    </row>
    <row r="57" spans="1:9" ht="18" x14ac:dyDescent="0.2">
      <c r="A57" s="1">
        <v>46006</v>
      </c>
      <c r="B57" s="2">
        <v>68.489999999999995</v>
      </c>
      <c r="C57" s="2">
        <v>68.53</v>
      </c>
      <c r="D57" s="2">
        <v>67.61</v>
      </c>
      <c r="E57" s="2">
        <v>67.89</v>
      </c>
      <c r="F57" s="2">
        <v>67.89</v>
      </c>
      <c r="G57" s="3">
        <v>6298800</v>
      </c>
      <c r="I57">
        <f t="shared" si="0"/>
        <v>1.3551333038739162E-2</v>
      </c>
    </row>
    <row r="58" spans="1:9" ht="18" x14ac:dyDescent="0.2">
      <c r="A58" s="1">
        <v>46003</v>
      </c>
      <c r="B58" s="2">
        <v>68.87</v>
      </c>
      <c r="C58" s="2">
        <v>69.13</v>
      </c>
      <c r="D58" s="2">
        <v>68.47</v>
      </c>
      <c r="E58" s="2">
        <v>68.81</v>
      </c>
      <c r="F58" s="2">
        <v>68.81</v>
      </c>
      <c r="G58" s="3">
        <v>5306000</v>
      </c>
      <c r="I58">
        <f t="shared" si="0"/>
        <v>6.3944194157825561E-3</v>
      </c>
    </row>
    <row r="59" spans="1:9" ht="18" x14ac:dyDescent="0.2">
      <c r="A59" s="1">
        <v>46002</v>
      </c>
      <c r="B59" s="2">
        <v>68.59</v>
      </c>
      <c r="C59" s="2">
        <v>69.290000000000006</v>
      </c>
      <c r="D59" s="2">
        <v>68.31</v>
      </c>
      <c r="E59" s="2">
        <v>69.25</v>
      </c>
      <c r="F59" s="2">
        <v>69.25</v>
      </c>
      <c r="G59" s="3">
        <v>8487500</v>
      </c>
      <c r="I59">
        <f t="shared" si="0"/>
        <v>1.8628158844765434E-2</v>
      </c>
    </row>
    <row r="60" spans="1:9" ht="18" x14ac:dyDescent="0.2">
      <c r="A60" s="1">
        <v>46001</v>
      </c>
      <c r="B60" s="2">
        <v>69.430000000000007</v>
      </c>
      <c r="C60" s="2">
        <v>70.7</v>
      </c>
      <c r="D60" s="2">
        <v>69.13</v>
      </c>
      <c r="E60" s="2">
        <v>70.540000000000006</v>
      </c>
      <c r="F60" s="2">
        <v>70.540000000000006</v>
      </c>
      <c r="G60" s="3">
        <v>8096000</v>
      </c>
      <c r="I60">
        <f t="shared" si="0"/>
        <v>-9.6399206124185826E-3</v>
      </c>
    </row>
    <row r="61" spans="1:9" ht="18" x14ac:dyDescent="0.2">
      <c r="A61" s="1">
        <v>46000</v>
      </c>
      <c r="B61" s="2">
        <v>70.38</v>
      </c>
      <c r="C61" s="2">
        <v>70.42</v>
      </c>
      <c r="D61" s="2">
        <v>69.66</v>
      </c>
      <c r="E61" s="2">
        <v>69.86</v>
      </c>
      <c r="F61" s="2">
        <v>69.86</v>
      </c>
      <c r="G61" s="3">
        <v>3111300</v>
      </c>
      <c r="I61">
        <f t="shared" si="0"/>
        <v>9.018036072144223E-3</v>
      </c>
    </row>
    <row r="62" spans="1:9" ht="18" x14ac:dyDescent="0.2">
      <c r="A62" s="1">
        <v>45999</v>
      </c>
      <c r="B62" s="2">
        <v>70.819999999999993</v>
      </c>
      <c r="C62" s="2">
        <v>71.180000000000007</v>
      </c>
      <c r="D62" s="2">
        <v>70.27</v>
      </c>
      <c r="E62" s="2">
        <v>70.489999999999995</v>
      </c>
      <c r="F62" s="2">
        <v>70.489999999999995</v>
      </c>
      <c r="G62" s="3">
        <v>3073400</v>
      </c>
      <c r="I62">
        <f t="shared" si="0"/>
        <v>2.0286565470279572E-2</v>
      </c>
    </row>
    <row r="63" spans="1:9" ht="18" x14ac:dyDescent="0.2">
      <c r="A63" s="1">
        <v>45996</v>
      </c>
      <c r="B63" s="2">
        <v>71.33</v>
      </c>
      <c r="C63" s="2">
        <v>72.34</v>
      </c>
      <c r="D63" s="2">
        <v>71.31</v>
      </c>
      <c r="E63" s="2">
        <v>71.92</v>
      </c>
      <c r="F63" s="2">
        <v>71.92</v>
      </c>
      <c r="G63" s="3">
        <v>4323600</v>
      </c>
      <c r="I63">
        <f t="shared" si="0"/>
        <v>-7.3692992213570787E-3</v>
      </c>
    </row>
    <row r="64" spans="1:9" ht="18" x14ac:dyDescent="0.2">
      <c r="A64" s="1">
        <v>45995</v>
      </c>
      <c r="B64" s="2">
        <v>70.650000000000006</v>
      </c>
      <c r="C64" s="2">
        <v>71.760000000000005</v>
      </c>
      <c r="D64" s="2">
        <v>70.349999999999994</v>
      </c>
      <c r="E64" s="2">
        <v>71.39</v>
      </c>
      <c r="F64" s="2">
        <v>71.39</v>
      </c>
      <c r="G64" s="3">
        <v>3957500</v>
      </c>
      <c r="I64">
        <f t="shared" si="0"/>
        <v>-1.0225521781762207E-2</v>
      </c>
    </row>
    <row r="65" spans="1:9" ht="18" x14ac:dyDescent="0.2">
      <c r="A65" s="1">
        <v>45994</v>
      </c>
      <c r="B65" s="2">
        <v>70.75</v>
      </c>
      <c r="C65" s="2">
        <v>71.3</v>
      </c>
      <c r="D65" s="2">
        <v>70.37</v>
      </c>
      <c r="E65" s="2">
        <v>70.66</v>
      </c>
      <c r="F65" s="2">
        <v>70.66</v>
      </c>
      <c r="G65" s="3">
        <v>3173600</v>
      </c>
      <c r="I65">
        <f t="shared" si="0"/>
        <v>-6.5100481177468687E-3</v>
      </c>
    </row>
    <row r="66" spans="1:9" ht="18" x14ac:dyDescent="0.2">
      <c r="A66" s="1">
        <v>45993</v>
      </c>
      <c r="B66" s="2">
        <v>70.540000000000006</v>
      </c>
      <c r="C66" s="2">
        <v>71.040000000000006</v>
      </c>
      <c r="D66" s="2">
        <v>69.72</v>
      </c>
      <c r="E66" s="2">
        <v>70.2</v>
      </c>
      <c r="F66" s="2">
        <v>70.2</v>
      </c>
      <c r="G66" s="3">
        <v>6339600</v>
      </c>
      <c r="I66">
        <f t="shared" si="0"/>
        <v>1.2250712250712241E-2</v>
      </c>
    </row>
    <row r="67" spans="1:9" ht="18" x14ac:dyDescent="0.2">
      <c r="A67" s="1">
        <v>45992</v>
      </c>
      <c r="B67" s="2">
        <v>70.61</v>
      </c>
      <c r="C67" s="2">
        <v>71.33</v>
      </c>
      <c r="D67" s="2">
        <v>70.61</v>
      </c>
      <c r="E67" s="2">
        <v>71.06</v>
      </c>
      <c r="F67" s="2">
        <v>71.06</v>
      </c>
      <c r="G67" s="3">
        <v>4462800</v>
      </c>
      <c r="I67">
        <f t="shared" ref="I67:I130" si="1">(E68-E67)/E67</f>
        <v>1.4072614691796939E-4</v>
      </c>
    </row>
    <row r="68" spans="1:9" ht="18" x14ac:dyDescent="0.2">
      <c r="A68" s="1">
        <v>45989</v>
      </c>
      <c r="B68" s="2">
        <v>70.44</v>
      </c>
      <c r="C68" s="2">
        <v>71.3</v>
      </c>
      <c r="D68" s="2">
        <v>70.44</v>
      </c>
      <c r="E68" s="2">
        <v>71.069999999999993</v>
      </c>
      <c r="F68" s="2">
        <v>71.069999999999993</v>
      </c>
      <c r="G68" s="3">
        <v>3363800</v>
      </c>
      <c r="I68">
        <f t="shared" si="1"/>
        <v>-1.4492753623188224E-2</v>
      </c>
    </row>
    <row r="69" spans="1:9" ht="18" x14ac:dyDescent="0.2">
      <c r="A69" s="1">
        <v>45987</v>
      </c>
      <c r="B69" s="2">
        <v>69.069999999999993</v>
      </c>
      <c r="C69" s="2">
        <v>70.19</v>
      </c>
      <c r="D69" s="2">
        <v>69.05</v>
      </c>
      <c r="E69" s="2">
        <v>70.040000000000006</v>
      </c>
      <c r="F69" s="2">
        <v>70.040000000000006</v>
      </c>
      <c r="G69" s="3">
        <v>3201800</v>
      </c>
      <c r="I69">
        <f t="shared" si="1"/>
        <v>-1.1279268989149147E-2</v>
      </c>
    </row>
    <row r="70" spans="1:9" ht="18" x14ac:dyDescent="0.2">
      <c r="A70" s="1">
        <v>45986</v>
      </c>
      <c r="B70" s="2">
        <v>68.95</v>
      </c>
      <c r="C70" s="2">
        <v>69.489999999999995</v>
      </c>
      <c r="D70" s="2">
        <v>68.260000000000005</v>
      </c>
      <c r="E70" s="2">
        <v>69.25</v>
      </c>
      <c r="F70" s="2">
        <v>69.25</v>
      </c>
      <c r="G70" s="3">
        <v>5888800</v>
      </c>
      <c r="I70">
        <f t="shared" si="1"/>
        <v>1.6895306859205799E-2</v>
      </c>
    </row>
    <row r="71" spans="1:9" ht="18" x14ac:dyDescent="0.2">
      <c r="A71" s="1">
        <v>45985</v>
      </c>
      <c r="B71" s="2">
        <v>69.27</v>
      </c>
      <c r="C71" s="2">
        <v>70.59</v>
      </c>
      <c r="D71" s="2">
        <v>68.849999999999994</v>
      </c>
      <c r="E71" s="2">
        <v>70.42</v>
      </c>
      <c r="F71" s="2">
        <v>70.42</v>
      </c>
      <c r="G71" s="3">
        <v>4551300</v>
      </c>
      <c r="I71">
        <f t="shared" si="1"/>
        <v>-1.590457256461239E-2</v>
      </c>
    </row>
    <row r="72" spans="1:9" ht="18" x14ac:dyDescent="0.2">
      <c r="A72" s="1">
        <v>45982</v>
      </c>
      <c r="B72" s="2">
        <v>69.27</v>
      </c>
      <c r="C72" s="2">
        <v>69.53</v>
      </c>
      <c r="D72" s="2">
        <v>68.58</v>
      </c>
      <c r="E72" s="2">
        <v>69.3</v>
      </c>
      <c r="F72" s="2">
        <v>69.3</v>
      </c>
      <c r="G72" s="3">
        <v>7120500</v>
      </c>
      <c r="I72">
        <f t="shared" si="1"/>
        <v>1.2265512265512389E-2</v>
      </c>
    </row>
    <row r="73" spans="1:9" ht="18" x14ac:dyDescent="0.2">
      <c r="A73" s="1">
        <v>45981</v>
      </c>
      <c r="B73" s="2">
        <v>71.27</v>
      </c>
      <c r="C73" s="2">
        <v>71.790000000000006</v>
      </c>
      <c r="D73" s="2">
        <v>70.02</v>
      </c>
      <c r="E73" s="2">
        <v>70.150000000000006</v>
      </c>
      <c r="F73" s="2">
        <v>70.150000000000006</v>
      </c>
      <c r="G73" s="3">
        <v>5542200</v>
      </c>
      <c r="I73">
        <f t="shared" si="1"/>
        <v>1.040627227369907E-2</v>
      </c>
    </row>
    <row r="74" spans="1:9" ht="18" x14ac:dyDescent="0.2">
      <c r="A74" s="1">
        <v>45980</v>
      </c>
      <c r="B74" s="2">
        <v>70.48</v>
      </c>
      <c r="C74" s="2">
        <v>70.91</v>
      </c>
      <c r="D74" s="2">
        <v>70.11</v>
      </c>
      <c r="E74" s="2">
        <v>70.88</v>
      </c>
      <c r="F74" s="2">
        <v>70.88</v>
      </c>
      <c r="G74" s="3">
        <v>4790200</v>
      </c>
      <c r="I74">
        <f t="shared" si="1"/>
        <v>2.2855530474040698E-2</v>
      </c>
    </row>
    <row r="75" spans="1:9" ht="18" x14ac:dyDescent="0.2">
      <c r="A75" s="1">
        <v>45979</v>
      </c>
      <c r="B75" s="2">
        <v>71.319999999999993</v>
      </c>
      <c r="C75" s="2">
        <v>72.680000000000007</v>
      </c>
      <c r="D75" s="2">
        <v>70.91</v>
      </c>
      <c r="E75" s="2">
        <v>72.5</v>
      </c>
      <c r="F75" s="2">
        <v>72.5</v>
      </c>
      <c r="G75" s="3">
        <v>5343000</v>
      </c>
      <c r="I75">
        <f t="shared" si="1"/>
        <v>-1.6551724137931073E-2</v>
      </c>
    </row>
    <row r="76" spans="1:9" ht="18" x14ac:dyDescent="0.2">
      <c r="A76" s="1">
        <v>45978</v>
      </c>
      <c r="B76" s="2">
        <v>71.599999999999994</v>
      </c>
      <c r="C76" s="2">
        <v>71.78</v>
      </c>
      <c r="D76" s="2">
        <v>71.290000000000006</v>
      </c>
      <c r="E76" s="2">
        <v>71.3</v>
      </c>
      <c r="F76" s="2">
        <v>71.3</v>
      </c>
      <c r="G76" s="3">
        <v>3647400</v>
      </c>
      <c r="I76">
        <f t="shared" si="1"/>
        <v>1.1220196353435947E-3</v>
      </c>
    </row>
    <row r="77" spans="1:9" ht="18" x14ac:dyDescent="0.2">
      <c r="A77" s="1">
        <v>45975</v>
      </c>
      <c r="B77" s="2">
        <v>71.319999999999993</v>
      </c>
      <c r="C77" s="2">
        <v>71.959999999999994</v>
      </c>
      <c r="D77" s="2">
        <v>71.13</v>
      </c>
      <c r="E77" s="2">
        <v>71.38</v>
      </c>
      <c r="F77" s="2">
        <v>71.38</v>
      </c>
      <c r="G77" s="3">
        <v>4159900</v>
      </c>
      <c r="I77">
        <f t="shared" si="1"/>
        <v>-2.1434575511347732E-2</v>
      </c>
    </row>
    <row r="78" spans="1:9" ht="18" x14ac:dyDescent="0.2">
      <c r="A78" s="1">
        <v>45974</v>
      </c>
      <c r="B78" s="2">
        <v>70.5</v>
      </c>
      <c r="C78" s="2">
        <v>70.540000000000006</v>
      </c>
      <c r="D78" s="2">
        <v>69.849999999999994</v>
      </c>
      <c r="E78" s="2">
        <v>69.849999999999994</v>
      </c>
      <c r="F78" s="2">
        <v>69.849999999999994</v>
      </c>
      <c r="G78" s="3">
        <v>4174700</v>
      </c>
      <c r="I78">
        <f t="shared" si="1"/>
        <v>-8.5898353614871962E-4</v>
      </c>
    </row>
    <row r="79" spans="1:9" ht="18" x14ac:dyDescent="0.2">
      <c r="A79" s="1">
        <v>45973</v>
      </c>
      <c r="B79" s="2">
        <v>71.09</v>
      </c>
      <c r="C79" s="2">
        <v>71.09</v>
      </c>
      <c r="D79" s="2">
        <v>69.64</v>
      </c>
      <c r="E79" s="2">
        <v>69.790000000000006</v>
      </c>
      <c r="F79" s="2">
        <v>69.790000000000006</v>
      </c>
      <c r="G79" s="3">
        <v>5070800</v>
      </c>
      <c r="I79">
        <f t="shared" si="1"/>
        <v>4.1983092133543377E-2</v>
      </c>
    </row>
    <row r="80" spans="1:9" ht="18" x14ac:dyDescent="0.2">
      <c r="A80" s="1">
        <v>45972</v>
      </c>
      <c r="B80" s="2">
        <v>72.430000000000007</v>
      </c>
      <c r="C80" s="2">
        <v>73.069999999999993</v>
      </c>
      <c r="D80" s="2">
        <v>72.430000000000007</v>
      </c>
      <c r="E80" s="2">
        <v>72.72</v>
      </c>
      <c r="F80" s="2">
        <v>72.72</v>
      </c>
      <c r="G80" s="3">
        <v>3677200</v>
      </c>
      <c r="I80">
        <f t="shared" si="1"/>
        <v>-1.4301430143014193E-2</v>
      </c>
    </row>
    <row r="81" spans="1:9" ht="18" x14ac:dyDescent="0.2">
      <c r="A81" s="1">
        <v>45971</v>
      </c>
      <c r="B81" s="2">
        <v>71.59</v>
      </c>
      <c r="C81" s="2">
        <v>71.77</v>
      </c>
      <c r="D81" s="2">
        <v>70.86</v>
      </c>
      <c r="E81" s="2">
        <v>71.680000000000007</v>
      </c>
      <c r="F81" s="2">
        <v>71.680000000000007</v>
      </c>
      <c r="G81" s="3">
        <v>2525500</v>
      </c>
      <c r="I81">
        <f t="shared" si="1"/>
        <v>-5.8593750000000234E-3</v>
      </c>
    </row>
    <row r="82" spans="1:9" ht="18" x14ac:dyDescent="0.2">
      <c r="A82" s="1">
        <v>45968</v>
      </c>
      <c r="B82" s="2">
        <v>71.28</v>
      </c>
      <c r="C82" s="2">
        <v>71.45</v>
      </c>
      <c r="D82" s="2">
        <v>70.72</v>
      </c>
      <c r="E82" s="2">
        <v>71.260000000000005</v>
      </c>
      <c r="F82" s="2">
        <v>71.260000000000005</v>
      </c>
      <c r="G82" s="3">
        <v>3627000</v>
      </c>
      <c r="I82">
        <f t="shared" si="1"/>
        <v>-5.3325849003649966E-3</v>
      </c>
    </row>
    <row r="83" spans="1:9" ht="18" x14ac:dyDescent="0.2">
      <c r="A83" s="1">
        <v>45967</v>
      </c>
      <c r="B83" s="2">
        <v>70.62</v>
      </c>
      <c r="C83" s="2">
        <v>71.11</v>
      </c>
      <c r="D83" s="2">
        <v>70.13</v>
      </c>
      <c r="E83" s="2">
        <v>70.88</v>
      </c>
      <c r="F83" s="2">
        <v>70.88</v>
      </c>
      <c r="G83" s="3">
        <v>4127300</v>
      </c>
      <c r="I83">
        <f t="shared" si="1"/>
        <v>2.1162528216705093E-3</v>
      </c>
    </row>
    <row r="84" spans="1:9" ht="18" x14ac:dyDescent="0.2">
      <c r="A84" s="1">
        <v>45966</v>
      </c>
      <c r="B84" s="2">
        <v>71.680000000000007</v>
      </c>
      <c r="C84" s="2">
        <v>72.459999999999994</v>
      </c>
      <c r="D84" s="2">
        <v>70.94</v>
      </c>
      <c r="E84" s="2">
        <v>71.03</v>
      </c>
      <c r="F84" s="2">
        <v>71.03</v>
      </c>
      <c r="G84" s="3">
        <v>3309200</v>
      </c>
      <c r="I84">
        <f t="shared" si="1"/>
        <v>1.2670702520062025E-2</v>
      </c>
    </row>
    <row r="85" spans="1:9" ht="18" x14ac:dyDescent="0.2">
      <c r="A85" s="1">
        <v>45965</v>
      </c>
      <c r="B85" s="2">
        <v>71.92</v>
      </c>
      <c r="C85" s="2">
        <v>72.52</v>
      </c>
      <c r="D85" s="2">
        <v>71.78</v>
      </c>
      <c r="E85" s="2">
        <v>71.930000000000007</v>
      </c>
      <c r="F85" s="2">
        <v>71.930000000000007</v>
      </c>
      <c r="G85" s="3">
        <v>3196200</v>
      </c>
      <c r="I85">
        <f t="shared" si="1"/>
        <v>1.1260948144028751E-2</v>
      </c>
    </row>
    <row r="86" spans="1:9" ht="18" x14ac:dyDescent="0.2">
      <c r="A86" s="1">
        <v>45964</v>
      </c>
      <c r="B86" s="2">
        <v>72.56</v>
      </c>
      <c r="C86" s="2">
        <v>73.2</v>
      </c>
      <c r="D86" s="2">
        <v>72.06</v>
      </c>
      <c r="E86" s="2">
        <v>72.739999999999995</v>
      </c>
      <c r="F86" s="2">
        <v>72.739999999999995</v>
      </c>
      <c r="G86" s="3">
        <v>4473600</v>
      </c>
      <c r="I86">
        <f t="shared" si="1"/>
        <v>-2.4745669507835115E-3</v>
      </c>
    </row>
    <row r="87" spans="1:9" ht="18" x14ac:dyDescent="0.2">
      <c r="A87" s="1">
        <v>45961</v>
      </c>
      <c r="B87" s="2">
        <v>72.569999999999993</v>
      </c>
      <c r="C87" s="2">
        <v>72.89</v>
      </c>
      <c r="D87" s="2">
        <v>72.010000000000005</v>
      </c>
      <c r="E87" s="2">
        <v>72.56</v>
      </c>
      <c r="F87" s="2">
        <v>72.56</v>
      </c>
      <c r="G87" s="3">
        <v>7030300</v>
      </c>
      <c r="I87">
        <f t="shared" si="1"/>
        <v>-1.1714443219404748E-2</v>
      </c>
    </row>
    <row r="88" spans="1:9" ht="18" x14ac:dyDescent="0.2">
      <c r="A88" s="1">
        <v>45960</v>
      </c>
      <c r="B88" s="2">
        <v>71.39</v>
      </c>
      <c r="C88" s="2">
        <v>72.349999999999994</v>
      </c>
      <c r="D88" s="2">
        <v>71.16</v>
      </c>
      <c r="E88" s="2">
        <v>71.709999999999994</v>
      </c>
      <c r="F88" s="2">
        <v>71.709999999999994</v>
      </c>
      <c r="G88" s="3">
        <v>2787200</v>
      </c>
      <c r="I88">
        <f t="shared" si="1"/>
        <v>1.2550550829731337E-3</v>
      </c>
    </row>
    <row r="89" spans="1:9" ht="18" x14ac:dyDescent="0.2">
      <c r="A89" s="1">
        <v>45959</v>
      </c>
      <c r="B89" s="2">
        <v>71.81</v>
      </c>
      <c r="C89" s="2">
        <v>72.64</v>
      </c>
      <c r="D89" s="2">
        <v>71.739999999999995</v>
      </c>
      <c r="E89" s="2">
        <v>71.8</v>
      </c>
      <c r="F89" s="2">
        <v>71.8</v>
      </c>
      <c r="G89" s="3">
        <v>4418000</v>
      </c>
      <c r="I89">
        <f t="shared" si="1"/>
        <v>-5.7103064066851899E-3</v>
      </c>
    </row>
    <row r="90" spans="1:9" ht="18" x14ac:dyDescent="0.2">
      <c r="A90" s="1">
        <v>45958</v>
      </c>
      <c r="B90" s="2">
        <v>72.05</v>
      </c>
      <c r="C90" s="2">
        <v>72.33</v>
      </c>
      <c r="D90" s="2">
        <v>71.14</v>
      </c>
      <c r="E90" s="2">
        <v>71.39</v>
      </c>
      <c r="F90" s="2">
        <v>71.39</v>
      </c>
      <c r="G90" s="3">
        <v>4540300</v>
      </c>
      <c r="I90">
        <f t="shared" si="1"/>
        <v>2.4233085866367896E-2</v>
      </c>
    </row>
    <row r="91" spans="1:9" ht="18" x14ac:dyDescent="0.2">
      <c r="A91" s="1">
        <v>45957</v>
      </c>
      <c r="B91" s="2">
        <v>73.209999999999994</v>
      </c>
      <c r="C91" s="2">
        <v>73.819999999999993</v>
      </c>
      <c r="D91" s="2">
        <v>72.77</v>
      </c>
      <c r="E91" s="2">
        <v>73.12</v>
      </c>
      <c r="F91" s="2">
        <v>73.12</v>
      </c>
      <c r="G91" s="3">
        <v>4563100</v>
      </c>
      <c r="I91">
        <f t="shared" si="1"/>
        <v>8.2056892778996544E-4</v>
      </c>
    </row>
    <row r="92" spans="1:9" ht="18" x14ac:dyDescent="0.2">
      <c r="A92" s="1">
        <v>45954</v>
      </c>
      <c r="B92" s="2">
        <v>73.67</v>
      </c>
      <c r="C92" s="2">
        <v>74.25</v>
      </c>
      <c r="D92" s="2">
        <v>73.09</v>
      </c>
      <c r="E92" s="2">
        <v>73.180000000000007</v>
      </c>
      <c r="F92" s="2">
        <v>73.180000000000007</v>
      </c>
      <c r="G92" s="3">
        <v>6467300</v>
      </c>
      <c r="I92">
        <f t="shared" si="1"/>
        <v>1.5031429352281966E-3</v>
      </c>
    </row>
    <row r="93" spans="1:9" ht="18" x14ac:dyDescent="0.2">
      <c r="A93" s="1">
        <v>45953</v>
      </c>
      <c r="B93" s="2">
        <v>73.11</v>
      </c>
      <c r="C93" s="2">
        <v>73.989999999999995</v>
      </c>
      <c r="D93" s="2">
        <v>72.86</v>
      </c>
      <c r="E93" s="2">
        <v>73.290000000000006</v>
      </c>
      <c r="F93" s="2">
        <v>73.290000000000006</v>
      </c>
      <c r="G93" s="3">
        <v>9561300</v>
      </c>
      <c r="I93">
        <f t="shared" si="1"/>
        <v>-3.6294173829990596E-2</v>
      </c>
    </row>
    <row r="94" spans="1:9" ht="18" x14ac:dyDescent="0.2">
      <c r="A94" s="1">
        <v>45952</v>
      </c>
      <c r="B94" s="2">
        <v>69.52</v>
      </c>
      <c r="C94" s="2">
        <v>71.180000000000007</v>
      </c>
      <c r="D94" s="2">
        <v>69.33</v>
      </c>
      <c r="E94" s="2">
        <v>70.63</v>
      </c>
      <c r="F94" s="2">
        <v>70.63</v>
      </c>
      <c r="G94" s="3">
        <v>14092800</v>
      </c>
      <c r="I94">
        <f t="shared" si="1"/>
        <v>-3.3413563641512101E-2</v>
      </c>
    </row>
    <row r="95" spans="1:9" ht="18" x14ac:dyDescent="0.2">
      <c r="A95" s="1">
        <v>45951</v>
      </c>
      <c r="B95" s="2">
        <v>68.05</v>
      </c>
      <c r="C95" s="2">
        <v>69.14</v>
      </c>
      <c r="D95" s="2">
        <v>67.040000000000006</v>
      </c>
      <c r="E95" s="2">
        <v>68.27</v>
      </c>
      <c r="F95" s="2">
        <v>68.27</v>
      </c>
      <c r="G95" s="3">
        <v>10824400</v>
      </c>
      <c r="I95">
        <f t="shared" si="1"/>
        <v>-6.4449978028416248E-3</v>
      </c>
    </row>
    <row r="96" spans="1:9" ht="18" x14ac:dyDescent="0.2">
      <c r="A96" s="1">
        <v>45950</v>
      </c>
      <c r="B96" s="2">
        <v>66.98</v>
      </c>
      <c r="C96" s="2">
        <v>67.900000000000006</v>
      </c>
      <c r="D96" s="2">
        <v>66.98</v>
      </c>
      <c r="E96" s="2">
        <v>67.83</v>
      </c>
      <c r="F96" s="2">
        <v>67.83</v>
      </c>
      <c r="G96" s="3">
        <v>6113000</v>
      </c>
      <c r="I96">
        <f t="shared" si="1"/>
        <v>2.2114108801416141E-3</v>
      </c>
    </row>
    <row r="97" spans="1:9" ht="18" x14ac:dyDescent="0.2">
      <c r="A97" s="1">
        <v>45947</v>
      </c>
      <c r="B97" s="2">
        <v>67.72</v>
      </c>
      <c r="C97" s="2">
        <v>68.16</v>
      </c>
      <c r="D97" s="2">
        <v>67.44</v>
      </c>
      <c r="E97" s="2">
        <v>67.98</v>
      </c>
      <c r="F97" s="2">
        <v>67.98</v>
      </c>
      <c r="G97" s="3">
        <v>5517900</v>
      </c>
      <c r="I97">
        <f t="shared" si="1"/>
        <v>-2.5007355104442732E-3</v>
      </c>
    </row>
    <row r="98" spans="1:9" ht="18" x14ac:dyDescent="0.2">
      <c r="A98" s="1">
        <v>45946</v>
      </c>
      <c r="B98" s="2">
        <v>69.12</v>
      </c>
      <c r="C98" s="2">
        <v>69.22</v>
      </c>
      <c r="D98" s="2">
        <v>67.53</v>
      </c>
      <c r="E98" s="2">
        <v>67.81</v>
      </c>
      <c r="F98" s="2">
        <v>67.81</v>
      </c>
      <c r="G98" s="3">
        <v>7635800</v>
      </c>
      <c r="I98">
        <f t="shared" si="1"/>
        <v>1.7401563191269613E-2</v>
      </c>
    </row>
    <row r="99" spans="1:9" ht="18" x14ac:dyDescent="0.2">
      <c r="A99" s="1">
        <v>45945</v>
      </c>
      <c r="B99" s="2">
        <v>69.709999999999994</v>
      </c>
      <c r="C99" s="2">
        <v>69.86</v>
      </c>
      <c r="D99" s="2">
        <v>68.709999999999994</v>
      </c>
      <c r="E99" s="2">
        <v>68.989999999999995</v>
      </c>
      <c r="F99" s="2">
        <v>68.989999999999995</v>
      </c>
      <c r="G99" s="3">
        <v>4069300</v>
      </c>
      <c r="I99">
        <f t="shared" si="1"/>
        <v>1.4494854326721433E-4</v>
      </c>
    </row>
    <row r="100" spans="1:9" ht="18" x14ac:dyDescent="0.2">
      <c r="A100" s="1">
        <v>45944</v>
      </c>
      <c r="B100" s="2">
        <v>69.150000000000006</v>
      </c>
      <c r="C100" s="2">
        <v>69.599999999999994</v>
      </c>
      <c r="D100" s="2">
        <v>68.510000000000005</v>
      </c>
      <c r="E100" s="2">
        <v>69</v>
      </c>
      <c r="F100" s="2">
        <v>69</v>
      </c>
      <c r="G100" s="3">
        <v>5106900</v>
      </c>
      <c r="I100">
        <f t="shared" si="1"/>
        <v>1.8550724637681176E-2</v>
      </c>
    </row>
    <row r="101" spans="1:9" ht="18" x14ac:dyDescent="0.2">
      <c r="A101" s="1">
        <v>45943</v>
      </c>
      <c r="B101" s="2">
        <v>70.31</v>
      </c>
      <c r="C101" s="2">
        <v>70.89</v>
      </c>
      <c r="D101" s="2">
        <v>69.900000000000006</v>
      </c>
      <c r="E101" s="2">
        <v>70.28</v>
      </c>
      <c r="F101" s="2">
        <v>70.28</v>
      </c>
      <c r="G101" s="3">
        <v>4026900</v>
      </c>
      <c r="I101">
        <f t="shared" si="1"/>
        <v>-1.2663631189527612E-2</v>
      </c>
    </row>
    <row r="102" spans="1:9" ht="18" x14ac:dyDescent="0.2">
      <c r="A102" s="1">
        <v>45940</v>
      </c>
      <c r="B102" s="2">
        <v>70.77</v>
      </c>
      <c r="C102" s="2">
        <v>71.37</v>
      </c>
      <c r="D102" s="2">
        <v>69.3</v>
      </c>
      <c r="E102" s="2">
        <v>69.39</v>
      </c>
      <c r="F102" s="2">
        <v>69.39</v>
      </c>
      <c r="G102" s="3">
        <v>8290900</v>
      </c>
      <c r="I102">
        <f t="shared" si="1"/>
        <v>4.4963251188932185E-2</v>
      </c>
    </row>
    <row r="103" spans="1:9" ht="18" x14ac:dyDescent="0.2">
      <c r="A103" s="1">
        <v>45939</v>
      </c>
      <c r="B103" s="2">
        <v>73.81</v>
      </c>
      <c r="C103" s="2">
        <v>73.91</v>
      </c>
      <c r="D103" s="2">
        <v>72.239999999999995</v>
      </c>
      <c r="E103" s="2">
        <v>72.510000000000005</v>
      </c>
      <c r="F103" s="2">
        <v>72.510000000000005</v>
      </c>
      <c r="G103" s="3">
        <v>4670900</v>
      </c>
      <c r="I103">
        <f t="shared" si="1"/>
        <v>1.4067025237898165E-2</v>
      </c>
    </row>
    <row r="104" spans="1:9" ht="18" x14ac:dyDescent="0.2">
      <c r="A104" s="1">
        <v>45938</v>
      </c>
      <c r="B104" s="2">
        <v>73.52</v>
      </c>
      <c r="C104" s="2">
        <v>74.13</v>
      </c>
      <c r="D104" s="2">
        <v>73.25</v>
      </c>
      <c r="E104" s="2">
        <v>73.53</v>
      </c>
      <c r="F104" s="2">
        <v>73.53</v>
      </c>
      <c r="G104" s="3">
        <v>4321100</v>
      </c>
      <c r="I104">
        <f t="shared" si="1"/>
        <v>-4.4879640962872062E-3</v>
      </c>
    </row>
    <row r="105" spans="1:9" ht="18" x14ac:dyDescent="0.2">
      <c r="A105" s="1">
        <v>45937</v>
      </c>
      <c r="B105" s="2">
        <v>72.48</v>
      </c>
      <c r="C105" s="2">
        <v>73.23</v>
      </c>
      <c r="D105" s="2">
        <v>72.22</v>
      </c>
      <c r="E105" s="2">
        <v>73.2</v>
      </c>
      <c r="F105" s="2">
        <v>73.2</v>
      </c>
      <c r="G105" s="3">
        <v>4845800</v>
      </c>
      <c r="I105">
        <f t="shared" si="1"/>
        <v>-4.5081967213114523E-3</v>
      </c>
    </row>
    <row r="106" spans="1:9" ht="18" x14ac:dyDescent="0.2">
      <c r="A106" s="1">
        <v>45936</v>
      </c>
      <c r="B106" s="2">
        <v>72.430000000000007</v>
      </c>
      <c r="C106" s="2">
        <v>73.16</v>
      </c>
      <c r="D106" s="2">
        <v>72.239999999999995</v>
      </c>
      <c r="E106" s="2">
        <v>72.87</v>
      </c>
      <c r="F106" s="2">
        <v>72.87</v>
      </c>
      <c r="G106" s="3">
        <v>5435400</v>
      </c>
      <c r="I106">
        <f t="shared" si="1"/>
        <v>-1.5918759434609724E-2</v>
      </c>
    </row>
    <row r="107" spans="1:9" ht="18" x14ac:dyDescent="0.2">
      <c r="A107" s="1">
        <v>45933</v>
      </c>
      <c r="B107" s="2">
        <v>71.77</v>
      </c>
      <c r="C107" s="2">
        <v>72.3</v>
      </c>
      <c r="D107" s="2">
        <v>71.63</v>
      </c>
      <c r="E107" s="2">
        <v>71.709999999999994</v>
      </c>
      <c r="F107" s="2">
        <v>71.709999999999994</v>
      </c>
      <c r="G107" s="3">
        <v>6657000</v>
      </c>
      <c r="I107">
        <f t="shared" si="1"/>
        <v>-2.3706596011712107E-3</v>
      </c>
    </row>
    <row r="108" spans="1:9" ht="18" x14ac:dyDescent="0.2">
      <c r="A108" s="1">
        <v>45932</v>
      </c>
      <c r="B108" s="2">
        <v>72.28</v>
      </c>
      <c r="C108" s="2">
        <v>72.959999999999994</v>
      </c>
      <c r="D108" s="2">
        <v>71.28</v>
      </c>
      <c r="E108" s="2">
        <v>71.540000000000006</v>
      </c>
      <c r="F108" s="2">
        <v>71.540000000000006</v>
      </c>
      <c r="G108" s="3">
        <v>6317200</v>
      </c>
      <c r="I108">
        <f t="shared" si="1"/>
        <v>2.2365110427732655E-2</v>
      </c>
    </row>
    <row r="109" spans="1:9" ht="18" x14ac:dyDescent="0.2">
      <c r="A109" s="1">
        <v>45931</v>
      </c>
      <c r="B109" s="2">
        <v>72.650000000000006</v>
      </c>
      <c r="C109" s="2">
        <v>73.489999999999995</v>
      </c>
      <c r="D109" s="2">
        <v>72.459999999999994</v>
      </c>
      <c r="E109" s="2">
        <v>73.14</v>
      </c>
      <c r="F109" s="2">
        <v>73.14</v>
      </c>
      <c r="G109" s="3">
        <v>6348600</v>
      </c>
      <c r="I109">
        <f t="shared" si="1"/>
        <v>8.3401695378725656E-3</v>
      </c>
    </row>
    <row r="110" spans="1:9" ht="18" x14ac:dyDescent="0.2">
      <c r="A110" s="1">
        <v>45930</v>
      </c>
      <c r="B110" s="2">
        <v>73.87</v>
      </c>
      <c r="C110" s="2">
        <v>74.349999999999994</v>
      </c>
      <c r="D110" s="2">
        <v>73.400000000000006</v>
      </c>
      <c r="E110" s="2">
        <v>73.75</v>
      </c>
      <c r="F110" s="2">
        <v>73.75</v>
      </c>
      <c r="G110" s="3">
        <v>7709100</v>
      </c>
      <c r="I110">
        <f t="shared" si="1"/>
        <v>1.1389830508474622E-2</v>
      </c>
    </row>
    <row r="111" spans="1:9" ht="18" x14ac:dyDescent="0.2">
      <c r="A111" s="1">
        <v>45929</v>
      </c>
      <c r="B111" s="2">
        <v>75.430000000000007</v>
      </c>
      <c r="C111" s="2">
        <v>75.5</v>
      </c>
      <c r="D111" s="2">
        <v>74.319999999999993</v>
      </c>
      <c r="E111" s="2">
        <v>74.59</v>
      </c>
      <c r="F111" s="2">
        <v>74.59</v>
      </c>
      <c r="G111" s="3">
        <v>6341200</v>
      </c>
      <c r="I111">
        <f t="shared" si="1"/>
        <v>3.2578093578227545E-2</v>
      </c>
    </row>
    <row r="112" spans="1:9" ht="18" x14ac:dyDescent="0.2">
      <c r="A112" s="1">
        <v>45926</v>
      </c>
      <c r="B112" s="2">
        <v>77.06</v>
      </c>
      <c r="C112" s="2">
        <v>78.319999999999993</v>
      </c>
      <c r="D112" s="2">
        <v>76.930000000000007</v>
      </c>
      <c r="E112" s="2">
        <v>77.02</v>
      </c>
      <c r="F112" s="2">
        <v>77.02</v>
      </c>
      <c r="G112" s="3">
        <v>5918400</v>
      </c>
      <c r="I112">
        <f t="shared" si="1"/>
        <v>-3.8950921838484988E-4</v>
      </c>
    </row>
    <row r="113" spans="1:9" ht="18" x14ac:dyDescent="0.2">
      <c r="A113" s="1">
        <v>45925</v>
      </c>
      <c r="B113" s="2">
        <v>76.03</v>
      </c>
      <c r="C113" s="2">
        <v>77.040000000000006</v>
      </c>
      <c r="D113" s="2">
        <v>75.55</v>
      </c>
      <c r="E113" s="2">
        <v>76.989999999999995</v>
      </c>
      <c r="F113" s="2">
        <v>76.989999999999995</v>
      </c>
      <c r="G113" s="3">
        <v>5736700</v>
      </c>
      <c r="I113">
        <f t="shared" si="1"/>
        <v>-7.7932198986880681E-3</v>
      </c>
    </row>
    <row r="114" spans="1:9" ht="18" x14ac:dyDescent="0.2">
      <c r="A114" s="1">
        <v>45924</v>
      </c>
      <c r="B114" s="2">
        <v>75.88</v>
      </c>
      <c r="C114" s="2">
        <v>76.69</v>
      </c>
      <c r="D114" s="2">
        <v>75.58</v>
      </c>
      <c r="E114" s="2">
        <v>76.39</v>
      </c>
      <c r="F114" s="2">
        <v>76.39</v>
      </c>
      <c r="G114" s="3">
        <v>3939900</v>
      </c>
      <c r="I114">
        <f t="shared" si="1"/>
        <v>-1.7541563031810491E-2</v>
      </c>
    </row>
    <row r="115" spans="1:9" ht="18" x14ac:dyDescent="0.2">
      <c r="A115" s="1">
        <v>45923</v>
      </c>
      <c r="B115" s="2">
        <v>74.36</v>
      </c>
      <c r="C115" s="2">
        <v>75.33</v>
      </c>
      <c r="D115" s="2">
        <v>74.33</v>
      </c>
      <c r="E115" s="2">
        <v>75.05</v>
      </c>
      <c r="F115" s="2">
        <v>75.05</v>
      </c>
      <c r="G115" s="3">
        <v>5617600</v>
      </c>
      <c r="I115">
        <f t="shared" si="1"/>
        <v>-2.131912058627574E-2</v>
      </c>
    </row>
    <row r="116" spans="1:9" ht="18" x14ac:dyDescent="0.2">
      <c r="A116" s="1">
        <v>45922</v>
      </c>
      <c r="B116" s="2">
        <v>72.8</v>
      </c>
      <c r="C116" s="2">
        <v>73.59</v>
      </c>
      <c r="D116" s="2">
        <v>72.72</v>
      </c>
      <c r="E116" s="2">
        <v>73.45</v>
      </c>
      <c r="F116" s="2">
        <v>73.45</v>
      </c>
      <c r="G116" s="3">
        <v>2787100</v>
      </c>
      <c r="I116">
        <f t="shared" si="1"/>
        <v>9.5302927161324946E-4</v>
      </c>
    </row>
    <row r="117" spans="1:9" ht="18" x14ac:dyDescent="0.2">
      <c r="A117" s="1">
        <v>45919</v>
      </c>
      <c r="B117" s="2">
        <v>73.95</v>
      </c>
      <c r="C117" s="2">
        <v>74.48</v>
      </c>
      <c r="D117" s="2">
        <v>73.33</v>
      </c>
      <c r="E117" s="2">
        <v>73.52</v>
      </c>
      <c r="F117" s="2">
        <v>73.52</v>
      </c>
      <c r="G117" s="3">
        <v>5958100</v>
      </c>
      <c r="I117">
        <f t="shared" si="1"/>
        <v>1.5914036996735607E-2</v>
      </c>
    </row>
    <row r="118" spans="1:9" ht="18" x14ac:dyDescent="0.2">
      <c r="A118" s="1">
        <v>45918</v>
      </c>
      <c r="B118" s="2">
        <v>75.12</v>
      </c>
      <c r="C118" s="2">
        <v>75.66</v>
      </c>
      <c r="D118" s="2">
        <v>74.28</v>
      </c>
      <c r="E118" s="2">
        <v>74.69</v>
      </c>
      <c r="F118" s="2">
        <v>74.69</v>
      </c>
      <c r="G118" s="3">
        <v>4176200</v>
      </c>
      <c r="I118">
        <f t="shared" si="1"/>
        <v>3.7488284910965476E-3</v>
      </c>
    </row>
    <row r="119" spans="1:9" ht="18" x14ac:dyDescent="0.2">
      <c r="A119" s="1">
        <v>45917</v>
      </c>
      <c r="B119" s="2">
        <v>75.41</v>
      </c>
      <c r="C119" s="2">
        <v>75.7</v>
      </c>
      <c r="D119" s="2">
        <v>74.67</v>
      </c>
      <c r="E119" s="2">
        <v>74.97</v>
      </c>
      <c r="F119" s="2">
        <v>74.97</v>
      </c>
      <c r="G119" s="3">
        <v>4020200</v>
      </c>
      <c r="I119">
        <f t="shared" si="1"/>
        <v>9.3370681605976103E-3</v>
      </c>
    </row>
    <row r="120" spans="1:9" ht="18" x14ac:dyDescent="0.2">
      <c r="A120" s="1">
        <v>45916</v>
      </c>
      <c r="B120" s="2">
        <v>75.08</v>
      </c>
      <c r="C120" s="2">
        <v>75.86</v>
      </c>
      <c r="D120" s="2">
        <v>74.8</v>
      </c>
      <c r="E120" s="2">
        <v>75.67</v>
      </c>
      <c r="F120" s="2">
        <v>75.67</v>
      </c>
      <c r="G120" s="3">
        <v>5063900</v>
      </c>
      <c r="I120">
        <f t="shared" si="1"/>
        <v>-1.9029998678472285E-2</v>
      </c>
    </row>
    <row r="121" spans="1:9" ht="18" x14ac:dyDescent="0.2">
      <c r="A121" s="1">
        <v>45915</v>
      </c>
      <c r="B121" s="2">
        <v>74.260000000000005</v>
      </c>
      <c r="C121" s="2">
        <v>74.680000000000007</v>
      </c>
      <c r="D121" s="2">
        <v>73.97</v>
      </c>
      <c r="E121" s="2">
        <v>74.23</v>
      </c>
      <c r="F121" s="2">
        <v>74.23</v>
      </c>
      <c r="G121" s="3">
        <v>3985500</v>
      </c>
      <c r="I121">
        <f t="shared" si="1"/>
        <v>-1.2393910817728703E-2</v>
      </c>
    </row>
    <row r="122" spans="1:9" ht="18" x14ac:dyDescent="0.2">
      <c r="A122" s="1">
        <v>45912</v>
      </c>
      <c r="B122" s="2">
        <v>74.17</v>
      </c>
      <c r="C122" s="2">
        <v>74.45</v>
      </c>
      <c r="D122" s="2">
        <v>73.260000000000005</v>
      </c>
      <c r="E122" s="2">
        <v>73.31</v>
      </c>
      <c r="F122" s="2">
        <v>73.31</v>
      </c>
      <c r="G122" s="3">
        <v>4990100</v>
      </c>
      <c r="I122">
        <f t="shared" si="1"/>
        <v>-4.2286181966989808E-3</v>
      </c>
    </row>
    <row r="123" spans="1:9" ht="18" x14ac:dyDescent="0.2">
      <c r="A123" s="1">
        <v>45911</v>
      </c>
      <c r="B123" s="2">
        <v>73.19</v>
      </c>
      <c r="C123" s="2">
        <v>73.55</v>
      </c>
      <c r="D123" s="2">
        <v>72.930000000000007</v>
      </c>
      <c r="E123" s="2">
        <v>73</v>
      </c>
      <c r="F123" s="2">
        <v>73</v>
      </c>
      <c r="G123" s="3">
        <v>3876000</v>
      </c>
      <c r="I123">
        <f t="shared" si="1"/>
        <v>2.3424657534246489E-2</v>
      </c>
    </row>
    <row r="124" spans="1:9" ht="18" x14ac:dyDescent="0.2">
      <c r="A124" s="1">
        <v>45910</v>
      </c>
      <c r="B124" s="2">
        <v>74</v>
      </c>
      <c r="C124" s="2">
        <v>75.05</v>
      </c>
      <c r="D124" s="2">
        <v>73.790000000000006</v>
      </c>
      <c r="E124" s="2">
        <v>74.709999999999994</v>
      </c>
      <c r="F124" s="2">
        <v>74.709999999999994</v>
      </c>
      <c r="G124" s="3">
        <v>6039000</v>
      </c>
      <c r="I124">
        <f t="shared" si="1"/>
        <v>-1.7668317494311248E-2</v>
      </c>
    </row>
    <row r="125" spans="1:9" ht="18" x14ac:dyDescent="0.2">
      <c r="A125" s="1">
        <v>45909</v>
      </c>
      <c r="B125" s="2">
        <v>73.989999999999995</v>
      </c>
      <c r="C125" s="2">
        <v>74.52</v>
      </c>
      <c r="D125" s="2">
        <v>73.290000000000006</v>
      </c>
      <c r="E125" s="2">
        <v>73.39</v>
      </c>
      <c r="F125" s="2">
        <v>73.39</v>
      </c>
      <c r="G125" s="3">
        <v>4228800</v>
      </c>
      <c r="I125">
        <f t="shared" si="1"/>
        <v>-4.7690421038287818E-3</v>
      </c>
    </row>
    <row r="126" spans="1:9" ht="18" x14ac:dyDescent="0.2">
      <c r="A126" s="1">
        <v>45908</v>
      </c>
      <c r="B126" s="2">
        <v>73.489999999999995</v>
      </c>
      <c r="C126" s="2">
        <v>73.540000000000006</v>
      </c>
      <c r="D126" s="2">
        <v>72.569999999999993</v>
      </c>
      <c r="E126" s="2">
        <v>73.040000000000006</v>
      </c>
      <c r="F126" s="2">
        <v>73.040000000000006</v>
      </c>
      <c r="G126" s="3">
        <v>3943300</v>
      </c>
      <c r="I126">
        <f t="shared" si="1"/>
        <v>-5.6133625410735317E-3</v>
      </c>
    </row>
    <row r="127" spans="1:9" ht="18" x14ac:dyDescent="0.2">
      <c r="A127" s="1">
        <v>45905</v>
      </c>
      <c r="B127" s="2">
        <v>73.02</v>
      </c>
      <c r="C127" s="2">
        <v>73.02</v>
      </c>
      <c r="D127" s="2">
        <v>71.959999999999994</v>
      </c>
      <c r="E127" s="2">
        <v>72.63</v>
      </c>
      <c r="F127" s="2">
        <v>72.63</v>
      </c>
      <c r="G127" s="3">
        <v>5101500</v>
      </c>
      <c r="I127">
        <f t="shared" si="1"/>
        <v>2.1341043645876516E-2</v>
      </c>
    </row>
    <row r="128" spans="1:9" ht="18" x14ac:dyDescent="0.2">
      <c r="A128" s="1">
        <v>45904</v>
      </c>
      <c r="B128" s="2">
        <v>73.87</v>
      </c>
      <c r="C128" s="2">
        <v>74.55</v>
      </c>
      <c r="D128" s="2">
        <v>73.75</v>
      </c>
      <c r="E128" s="2">
        <v>74.180000000000007</v>
      </c>
      <c r="F128" s="2">
        <v>74.180000000000007</v>
      </c>
      <c r="G128" s="3">
        <v>4503100</v>
      </c>
      <c r="I128">
        <f t="shared" si="1"/>
        <v>8.7624696683741097E-3</v>
      </c>
    </row>
    <row r="129" spans="1:9" ht="18" x14ac:dyDescent="0.2">
      <c r="A129" s="1">
        <v>45903</v>
      </c>
      <c r="B129" s="2">
        <v>75.61</v>
      </c>
      <c r="C129" s="2">
        <v>75.83</v>
      </c>
      <c r="D129" s="2">
        <v>74.59</v>
      </c>
      <c r="E129" s="2">
        <v>74.83</v>
      </c>
      <c r="F129" s="2">
        <v>74.83</v>
      </c>
      <c r="G129" s="3">
        <v>6270900</v>
      </c>
      <c r="I129">
        <f t="shared" si="1"/>
        <v>2.579179473473215E-2</v>
      </c>
    </row>
    <row r="130" spans="1:9" ht="18" x14ac:dyDescent="0.2">
      <c r="A130" s="1">
        <v>45902</v>
      </c>
      <c r="B130" s="2">
        <v>76.08</v>
      </c>
      <c r="C130" s="2">
        <v>76.959999999999994</v>
      </c>
      <c r="D130" s="2">
        <v>75.67</v>
      </c>
      <c r="E130" s="2">
        <v>76.760000000000005</v>
      </c>
      <c r="F130" s="2">
        <v>76.760000000000005</v>
      </c>
      <c r="G130" s="3">
        <v>5380800</v>
      </c>
      <c r="I130">
        <f t="shared" si="1"/>
        <v>-2.5013027618551349E-2</v>
      </c>
    </row>
    <row r="131" spans="1:9" ht="18" x14ac:dyDescent="0.2">
      <c r="A131" s="1">
        <v>45898</v>
      </c>
      <c r="B131" s="2">
        <v>75.349999999999994</v>
      </c>
      <c r="C131" s="2">
        <v>75.45</v>
      </c>
      <c r="D131" s="2">
        <v>74.739999999999995</v>
      </c>
      <c r="E131" s="2">
        <v>74.84</v>
      </c>
      <c r="F131" s="2">
        <v>74.84</v>
      </c>
      <c r="G131" s="3">
        <v>3510200</v>
      </c>
      <c r="I131">
        <f t="shared" ref="I131:I194" si="2">(E132-E131)/E131</f>
        <v>5.3447354355958239E-3</v>
      </c>
    </row>
    <row r="132" spans="1:9" ht="18" x14ac:dyDescent="0.2">
      <c r="A132" s="1">
        <v>45897</v>
      </c>
      <c r="B132" s="2">
        <v>74.94</v>
      </c>
      <c r="C132" s="2">
        <v>75.67</v>
      </c>
      <c r="D132" s="2">
        <v>74.11</v>
      </c>
      <c r="E132" s="2">
        <v>75.239999999999995</v>
      </c>
      <c r="F132" s="2">
        <v>75.239999999999995</v>
      </c>
      <c r="G132" s="3">
        <v>3522000</v>
      </c>
      <c r="I132">
        <f t="shared" si="2"/>
        <v>-7.442849548112548E-3</v>
      </c>
    </row>
    <row r="133" spans="1:9" ht="18" x14ac:dyDescent="0.2">
      <c r="A133" s="1">
        <v>45896</v>
      </c>
      <c r="B133" s="2">
        <v>74.13</v>
      </c>
      <c r="C133" s="2">
        <v>75.11</v>
      </c>
      <c r="D133" s="2">
        <v>74.13</v>
      </c>
      <c r="E133" s="2">
        <v>74.680000000000007</v>
      </c>
      <c r="F133" s="2">
        <v>74.680000000000007</v>
      </c>
      <c r="G133" s="3">
        <v>3322100</v>
      </c>
      <c r="I133">
        <f t="shared" si="2"/>
        <v>-8.4359935725764543E-3</v>
      </c>
    </row>
    <row r="134" spans="1:9" ht="18" x14ac:dyDescent="0.2">
      <c r="A134" s="1">
        <v>45895</v>
      </c>
      <c r="B134" s="2">
        <v>74.58</v>
      </c>
      <c r="C134" s="2">
        <v>75.12</v>
      </c>
      <c r="D134" s="2">
        <v>73.849999999999994</v>
      </c>
      <c r="E134" s="2">
        <v>74.05</v>
      </c>
      <c r="F134" s="2">
        <v>74.05</v>
      </c>
      <c r="G134" s="3">
        <v>3174400</v>
      </c>
      <c r="I134">
        <f t="shared" si="2"/>
        <v>2.2957461174881875E-2</v>
      </c>
    </row>
    <row r="135" spans="1:9" ht="18" x14ac:dyDescent="0.2">
      <c r="A135" s="1">
        <v>45894</v>
      </c>
      <c r="B135" s="2">
        <v>75.19</v>
      </c>
      <c r="C135" s="2">
        <v>76.12</v>
      </c>
      <c r="D135" s="2">
        <v>75.17</v>
      </c>
      <c r="E135" s="2">
        <v>75.75</v>
      </c>
      <c r="F135" s="2">
        <v>75.75</v>
      </c>
      <c r="G135" s="3">
        <v>3175800</v>
      </c>
      <c r="I135">
        <f t="shared" si="2"/>
        <v>-1.4653465346534646E-2</v>
      </c>
    </row>
    <row r="136" spans="1:9" ht="18" x14ac:dyDescent="0.2">
      <c r="A136" s="1">
        <v>45891</v>
      </c>
      <c r="B136" s="2">
        <v>74.28</v>
      </c>
      <c r="C136" s="2">
        <v>74.73</v>
      </c>
      <c r="D136" s="2">
        <v>74.12</v>
      </c>
      <c r="E136" s="2">
        <v>74.64</v>
      </c>
      <c r="F136" s="2">
        <v>74.64</v>
      </c>
      <c r="G136" s="3">
        <v>4873300</v>
      </c>
      <c r="I136">
        <f t="shared" si="2"/>
        <v>-6.8327974276528019E-3</v>
      </c>
    </row>
    <row r="137" spans="1:9" ht="18" x14ac:dyDescent="0.2">
      <c r="A137" s="1">
        <v>45890</v>
      </c>
      <c r="B137" s="2">
        <v>73.290000000000006</v>
      </c>
      <c r="C137" s="2">
        <v>74.41</v>
      </c>
      <c r="D137" s="2">
        <v>73.09</v>
      </c>
      <c r="E137" s="2">
        <v>74.13</v>
      </c>
      <c r="F137" s="2">
        <v>74.13</v>
      </c>
      <c r="G137" s="3">
        <v>3185700</v>
      </c>
      <c r="I137">
        <f t="shared" si="2"/>
        <v>-8.2287872656144536E-3</v>
      </c>
    </row>
    <row r="138" spans="1:9" ht="18" x14ac:dyDescent="0.2">
      <c r="A138" s="1">
        <v>45889</v>
      </c>
      <c r="B138" s="2">
        <v>73.16</v>
      </c>
      <c r="C138" s="2">
        <v>73.63</v>
      </c>
      <c r="D138" s="2">
        <v>72.59</v>
      </c>
      <c r="E138" s="2">
        <v>73.52</v>
      </c>
      <c r="F138" s="2">
        <v>73.52</v>
      </c>
      <c r="G138" s="3">
        <v>3858800</v>
      </c>
      <c r="I138">
        <f t="shared" si="2"/>
        <v>-1.6594124047878113E-2</v>
      </c>
    </row>
    <row r="139" spans="1:9" ht="18" x14ac:dyDescent="0.2">
      <c r="A139" s="1">
        <v>45888</v>
      </c>
      <c r="B139" s="2">
        <v>72.5</v>
      </c>
      <c r="C139" s="2">
        <v>72.75</v>
      </c>
      <c r="D139" s="2">
        <v>72.06</v>
      </c>
      <c r="E139" s="2">
        <v>72.3</v>
      </c>
      <c r="F139" s="2">
        <v>72.3</v>
      </c>
      <c r="G139" s="3">
        <v>3423300</v>
      </c>
      <c r="I139">
        <f t="shared" si="2"/>
        <v>1.2033195020746951E-2</v>
      </c>
    </row>
    <row r="140" spans="1:9" ht="18" x14ac:dyDescent="0.2">
      <c r="A140" s="1">
        <v>45887</v>
      </c>
      <c r="B140" s="2">
        <v>72.349999999999994</v>
      </c>
      <c r="C140" s="2">
        <v>73.63</v>
      </c>
      <c r="D140" s="2">
        <v>71.81</v>
      </c>
      <c r="E140" s="2">
        <v>73.17</v>
      </c>
      <c r="F140" s="2">
        <v>73.17</v>
      </c>
      <c r="G140" s="3">
        <v>5247900</v>
      </c>
      <c r="I140">
        <f t="shared" si="2"/>
        <v>-5.0567172338390667E-3</v>
      </c>
    </row>
    <row r="141" spans="1:9" ht="18" x14ac:dyDescent="0.2">
      <c r="A141" s="1">
        <v>45884</v>
      </c>
      <c r="B141" s="2">
        <v>72.72</v>
      </c>
      <c r="C141" s="2">
        <v>73.22</v>
      </c>
      <c r="D141" s="2">
        <v>72.290000000000006</v>
      </c>
      <c r="E141" s="2">
        <v>72.8</v>
      </c>
      <c r="F141" s="2">
        <v>72.8</v>
      </c>
      <c r="G141" s="3">
        <v>8046900</v>
      </c>
      <c r="I141">
        <f t="shared" si="2"/>
        <v>1.2912087912087882E-2</v>
      </c>
    </row>
    <row r="142" spans="1:9" ht="18" x14ac:dyDescent="0.2">
      <c r="A142" s="1">
        <v>45883</v>
      </c>
      <c r="B142" s="2">
        <v>73.36</v>
      </c>
      <c r="C142" s="2">
        <v>73.78</v>
      </c>
      <c r="D142" s="2">
        <v>72.88</v>
      </c>
      <c r="E142" s="2">
        <v>73.739999999999995</v>
      </c>
      <c r="F142" s="2">
        <v>73.739999999999995</v>
      </c>
      <c r="G142" s="3">
        <v>4551100</v>
      </c>
      <c r="I142">
        <f t="shared" si="2"/>
        <v>-1.7358285869270428E-2</v>
      </c>
    </row>
    <row r="143" spans="1:9" ht="18" x14ac:dyDescent="0.2">
      <c r="A143" s="1">
        <v>45882</v>
      </c>
      <c r="B143" s="2">
        <v>72.78</v>
      </c>
      <c r="C143" s="2">
        <v>72.83</v>
      </c>
      <c r="D143" s="2">
        <v>71.56</v>
      </c>
      <c r="E143" s="2">
        <v>72.459999999999994</v>
      </c>
      <c r="F143" s="2">
        <v>72.459999999999994</v>
      </c>
      <c r="G143" s="3">
        <v>5653500</v>
      </c>
      <c r="I143">
        <f t="shared" si="2"/>
        <v>6.7623516422855249E-3</v>
      </c>
    </row>
    <row r="144" spans="1:9" ht="18" x14ac:dyDescent="0.2">
      <c r="A144" s="1">
        <v>45881</v>
      </c>
      <c r="B144" s="2">
        <v>73.22</v>
      </c>
      <c r="C144" s="2">
        <v>73.58</v>
      </c>
      <c r="D144" s="2">
        <v>72.8</v>
      </c>
      <c r="E144" s="2">
        <v>72.95</v>
      </c>
      <c r="F144" s="2">
        <v>72.95</v>
      </c>
      <c r="G144" s="3">
        <v>2929300</v>
      </c>
      <c r="I144">
        <f t="shared" si="2"/>
        <v>1.165181631254276E-2</v>
      </c>
    </row>
    <row r="145" spans="1:9" ht="18" x14ac:dyDescent="0.2">
      <c r="A145" s="1">
        <v>45880</v>
      </c>
      <c r="B145" s="2">
        <v>73.94</v>
      </c>
      <c r="C145" s="2">
        <v>74.23</v>
      </c>
      <c r="D145" s="2">
        <v>73.36</v>
      </c>
      <c r="E145" s="2">
        <v>73.8</v>
      </c>
      <c r="F145" s="2">
        <v>73.8</v>
      </c>
      <c r="G145" s="3">
        <v>3307600</v>
      </c>
      <c r="I145">
        <f t="shared" si="2"/>
        <v>-6.7750677506775072E-3</v>
      </c>
    </row>
    <row r="146" spans="1:9" ht="18" x14ac:dyDescent="0.2">
      <c r="A146" s="1">
        <v>45877</v>
      </c>
      <c r="B146" s="2">
        <v>73.930000000000007</v>
      </c>
      <c r="C146" s="2">
        <v>74.400000000000006</v>
      </c>
      <c r="D146" s="2">
        <v>72.39</v>
      </c>
      <c r="E146" s="2">
        <v>73.3</v>
      </c>
      <c r="F146" s="2">
        <v>73.3</v>
      </c>
      <c r="G146" s="3">
        <v>5793400</v>
      </c>
      <c r="I146">
        <f t="shared" si="2"/>
        <v>1.6371077762619994E-3</v>
      </c>
    </row>
    <row r="147" spans="1:9" ht="18" x14ac:dyDescent="0.2">
      <c r="A147" s="1">
        <v>45876</v>
      </c>
      <c r="B147" s="2">
        <v>74.06</v>
      </c>
      <c r="C147" s="2">
        <v>74.540000000000006</v>
      </c>
      <c r="D147" s="2">
        <v>73.42</v>
      </c>
      <c r="E147" s="2">
        <v>73.42</v>
      </c>
      <c r="F147" s="2">
        <v>73.42</v>
      </c>
      <c r="G147" s="3">
        <v>3578400</v>
      </c>
      <c r="I147">
        <f t="shared" si="2"/>
        <v>5.0394987741760357E-3</v>
      </c>
    </row>
    <row r="148" spans="1:9" ht="18" x14ac:dyDescent="0.2">
      <c r="A148" s="1">
        <v>45875</v>
      </c>
      <c r="B148" s="2">
        <v>76.31</v>
      </c>
      <c r="C148" s="2">
        <v>76.84</v>
      </c>
      <c r="D148" s="2">
        <v>73.319999999999993</v>
      </c>
      <c r="E148" s="2">
        <v>73.790000000000006</v>
      </c>
      <c r="F148" s="2">
        <v>73.790000000000006</v>
      </c>
      <c r="G148" s="3">
        <v>8908700</v>
      </c>
      <c r="I148">
        <f t="shared" si="2"/>
        <v>1.6668925328635176E-2</v>
      </c>
    </row>
    <row r="149" spans="1:9" ht="18" x14ac:dyDescent="0.2">
      <c r="A149" s="1">
        <v>45874</v>
      </c>
      <c r="B149" s="2">
        <v>75.510000000000005</v>
      </c>
      <c r="C149" s="2">
        <v>75.75</v>
      </c>
      <c r="D149" s="2">
        <v>74.89</v>
      </c>
      <c r="E149" s="2">
        <v>75.02</v>
      </c>
      <c r="F149" s="2">
        <v>75.02</v>
      </c>
      <c r="G149" s="3">
        <v>5894000</v>
      </c>
      <c r="I149">
        <f t="shared" si="2"/>
        <v>1.4529458810983784E-2</v>
      </c>
    </row>
    <row r="150" spans="1:9" ht="18" x14ac:dyDescent="0.2">
      <c r="A150" s="1">
        <v>45873</v>
      </c>
      <c r="B150" s="2">
        <v>75.64</v>
      </c>
      <c r="C150" s="2">
        <v>77.16</v>
      </c>
      <c r="D150" s="2">
        <v>75.459999999999994</v>
      </c>
      <c r="E150" s="2">
        <v>76.11</v>
      </c>
      <c r="F150" s="2">
        <v>76.11</v>
      </c>
      <c r="G150" s="3">
        <v>5326700</v>
      </c>
      <c r="I150">
        <f t="shared" si="2"/>
        <v>1.7737485218762242E-2</v>
      </c>
    </row>
    <row r="151" spans="1:9" ht="18" x14ac:dyDescent="0.2">
      <c r="A151" s="1">
        <v>45870</v>
      </c>
      <c r="B151" s="2">
        <v>79.709999999999994</v>
      </c>
      <c r="C151" s="2">
        <v>79.83</v>
      </c>
      <c r="D151" s="2">
        <v>77.19</v>
      </c>
      <c r="E151" s="2">
        <v>77.459999999999994</v>
      </c>
      <c r="F151" s="2">
        <v>77.459999999999994</v>
      </c>
      <c r="G151" s="3">
        <v>7087100</v>
      </c>
      <c r="I151">
        <f t="shared" si="2"/>
        <v>2.7498063516653883E-2</v>
      </c>
    </row>
    <row r="152" spans="1:9" ht="18" x14ac:dyDescent="0.2">
      <c r="A152" s="1">
        <v>45869</v>
      </c>
      <c r="B152" s="2">
        <v>79.86</v>
      </c>
      <c r="C152" s="2">
        <v>80.42</v>
      </c>
      <c r="D152" s="2">
        <v>78.92</v>
      </c>
      <c r="E152" s="2">
        <v>79.59</v>
      </c>
      <c r="F152" s="2">
        <v>79.59</v>
      </c>
      <c r="G152" s="3">
        <v>3817100</v>
      </c>
      <c r="I152">
        <f t="shared" si="2"/>
        <v>1.8218369141852025E-2</v>
      </c>
    </row>
    <row r="153" spans="1:9" ht="18" x14ac:dyDescent="0.2">
      <c r="A153" s="1">
        <v>45868</v>
      </c>
      <c r="B153" s="2">
        <v>80.16</v>
      </c>
      <c r="C153" s="2">
        <v>81.13</v>
      </c>
      <c r="D153" s="2">
        <v>79.73</v>
      </c>
      <c r="E153" s="2">
        <v>81.040000000000006</v>
      </c>
      <c r="F153" s="2">
        <v>81.040000000000006</v>
      </c>
      <c r="G153" s="3">
        <v>4957400</v>
      </c>
      <c r="I153">
        <f t="shared" si="2"/>
        <v>-1.5301085883514426E-2</v>
      </c>
    </row>
    <row r="154" spans="1:9" ht="18" x14ac:dyDescent="0.2">
      <c r="A154" s="1">
        <v>45867</v>
      </c>
      <c r="B154" s="2">
        <v>77.45</v>
      </c>
      <c r="C154" s="2">
        <v>80.239999999999995</v>
      </c>
      <c r="D154" s="2">
        <v>77.34</v>
      </c>
      <c r="E154" s="2">
        <v>79.8</v>
      </c>
      <c r="F154" s="2">
        <v>79.8</v>
      </c>
      <c r="G154" s="3">
        <v>7928200</v>
      </c>
      <c r="I154">
        <f t="shared" si="2"/>
        <v>-3.295739348370922E-2</v>
      </c>
    </row>
    <row r="155" spans="1:9" ht="18" x14ac:dyDescent="0.2">
      <c r="A155" s="1">
        <v>45866</v>
      </c>
      <c r="B155" s="2">
        <v>76.7</v>
      </c>
      <c r="C155" s="2">
        <v>77.239999999999995</v>
      </c>
      <c r="D155" s="2">
        <v>76.209999999999994</v>
      </c>
      <c r="E155" s="2">
        <v>77.17</v>
      </c>
      <c r="F155" s="2">
        <v>77.17</v>
      </c>
      <c r="G155" s="3">
        <v>3796800</v>
      </c>
      <c r="I155">
        <f t="shared" si="2"/>
        <v>-3.0063496177271054E-2</v>
      </c>
    </row>
    <row r="156" spans="1:9" ht="18" x14ac:dyDescent="0.2">
      <c r="A156" s="1">
        <v>45863</v>
      </c>
      <c r="B156" s="2">
        <v>76.11</v>
      </c>
      <c r="C156" s="2">
        <v>76.11</v>
      </c>
      <c r="D156" s="2">
        <v>74.8</v>
      </c>
      <c r="E156" s="2">
        <v>74.849999999999994</v>
      </c>
      <c r="F156" s="2">
        <v>74.849999999999994</v>
      </c>
      <c r="G156" s="3">
        <v>3287400</v>
      </c>
      <c r="I156">
        <f t="shared" si="2"/>
        <v>1.6566466265865186E-2</v>
      </c>
    </row>
    <row r="157" spans="1:9" ht="18" x14ac:dyDescent="0.2">
      <c r="A157" s="1">
        <v>45862</v>
      </c>
      <c r="B157" s="2">
        <v>75.87</v>
      </c>
      <c r="C157" s="2">
        <v>76.34</v>
      </c>
      <c r="D157" s="2">
        <v>75.150000000000006</v>
      </c>
      <c r="E157" s="2">
        <v>76.09</v>
      </c>
      <c r="F157" s="2">
        <v>76.09</v>
      </c>
      <c r="G157" s="3">
        <v>5938400</v>
      </c>
      <c r="I157">
        <f t="shared" si="2"/>
        <v>-1.0645288474175348E-2</v>
      </c>
    </row>
    <row r="158" spans="1:9" ht="18" x14ac:dyDescent="0.2">
      <c r="A158" s="1">
        <v>45861</v>
      </c>
      <c r="B158" s="2">
        <v>74.81</v>
      </c>
      <c r="C158" s="2">
        <v>75.33</v>
      </c>
      <c r="D158" s="2">
        <v>74.44</v>
      </c>
      <c r="E158" s="2">
        <v>75.28</v>
      </c>
      <c r="F158" s="2">
        <v>75.28</v>
      </c>
      <c r="G158" s="3">
        <v>4811500</v>
      </c>
      <c r="I158">
        <f t="shared" si="2"/>
        <v>9.2986184909661499E-4</v>
      </c>
    </row>
    <row r="159" spans="1:9" ht="18" x14ac:dyDescent="0.2">
      <c r="A159" s="1">
        <v>45860</v>
      </c>
      <c r="B159" s="2">
        <v>75.06</v>
      </c>
      <c r="C159" s="2">
        <v>75.47</v>
      </c>
      <c r="D159" s="2">
        <v>74.55</v>
      </c>
      <c r="E159" s="2">
        <v>75.349999999999994</v>
      </c>
      <c r="F159" s="2">
        <v>75.349999999999994</v>
      </c>
      <c r="G159" s="3">
        <v>3946300</v>
      </c>
      <c r="I159">
        <f t="shared" si="2"/>
        <v>3.1851360318514814E-3</v>
      </c>
    </row>
    <row r="160" spans="1:9" ht="18" x14ac:dyDescent="0.2">
      <c r="A160" s="1">
        <v>45859</v>
      </c>
      <c r="B160" s="2">
        <v>75.62</v>
      </c>
      <c r="C160" s="2">
        <v>75.91</v>
      </c>
      <c r="D160" s="2">
        <v>74.989999999999995</v>
      </c>
      <c r="E160" s="2">
        <v>75.59</v>
      </c>
      <c r="F160" s="2">
        <v>75.59</v>
      </c>
      <c r="G160" s="3">
        <v>2884800</v>
      </c>
      <c r="I160">
        <f t="shared" si="2"/>
        <v>4.4979494642148881E-3</v>
      </c>
    </row>
    <row r="161" spans="1:9" ht="18" x14ac:dyDescent="0.2">
      <c r="A161" s="1">
        <v>45856</v>
      </c>
      <c r="B161" s="2">
        <v>76.97</v>
      </c>
      <c r="C161" s="2">
        <v>77.31</v>
      </c>
      <c r="D161" s="2">
        <v>75.8</v>
      </c>
      <c r="E161" s="2">
        <v>75.930000000000007</v>
      </c>
      <c r="F161" s="2">
        <v>75.930000000000007</v>
      </c>
      <c r="G161" s="3">
        <v>7583500</v>
      </c>
      <c r="I161">
        <f t="shared" si="2"/>
        <v>3.0291057553008E-3</v>
      </c>
    </row>
    <row r="162" spans="1:9" ht="18" x14ac:dyDescent="0.2">
      <c r="A162" s="1">
        <v>45855</v>
      </c>
      <c r="B162" s="2">
        <v>75.010000000000005</v>
      </c>
      <c r="C162" s="2">
        <v>76.260000000000005</v>
      </c>
      <c r="D162" s="2">
        <v>74.87</v>
      </c>
      <c r="E162" s="2">
        <v>76.16</v>
      </c>
      <c r="F162" s="2">
        <v>76.16</v>
      </c>
      <c r="G162" s="3">
        <v>4350000</v>
      </c>
      <c r="I162">
        <f t="shared" si="2"/>
        <v>-1.2736344537815112E-2</v>
      </c>
    </row>
    <row r="163" spans="1:9" ht="18" x14ac:dyDescent="0.2">
      <c r="A163" s="1">
        <v>45854</v>
      </c>
      <c r="B163" s="2">
        <v>74.209999999999994</v>
      </c>
      <c r="C163" s="2">
        <v>75.33</v>
      </c>
      <c r="D163" s="2">
        <v>73.989999999999995</v>
      </c>
      <c r="E163" s="2">
        <v>75.19</v>
      </c>
      <c r="F163" s="2">
        <v>75.19</v>
      </c>
      <c r="G163" s="3">
        <v>6178100</v>
      </c>
      <c r="I163">
        <f t="shared" si="2"/>
        <v>9.3097486367877899E-4</v>
      </c>
    </row>
    <row r="164" spans="1:9" ht="18" x14ac:dyDescent="0.2">
      <c r="A164" s="1">
        <v>45853</v>
      </c>
      <c r="B164" s="2">
        <v>75.31</v>
      </c>
      <c r="C164" s="2">
        <v>75.88</v>
      </c>
      <c r="D164" s="2">
        <v>74.94</v>
      </c>
      <c r="E164" s="2">
        <v>75.260000000000005</v>
      </c>
      <c r="F164" s="2">
        <v>75.260000000000005</v>
      </c>
      <c r="G164" s="3">
        <v>5941400</v>
      </c>
      <c r="I164">
        <f t="shared" si="2"/>
        <v>4.7834174860483577E-3</v>
      </c>
    </row>
    <row r="165" spans="1:9" ht="18" x14ac:dyDescent="0.2">
      <c r="A165" s="1">
        <v>45852</v>
      </c>
      <c r="B165" s="2">
        <v>77.27</v>
      </c>
      <c r="C165" s="2">
        <v>77.27</v>
      </c>
      <c r="D165" s="2">
        <v>75.5</v>
      </c>
      <c r="E165" s="2">
        <v>75.62</v>
      </c>
      <c r="F165" s="2">
        <v>75.62</v>
      </c>
      <c r="G165" s="3">
        <v>7289700</v>
      </c>
      <c r="I165">
        <f t="shared" si="2"/>
        <v>2.2084104734197325E-2</v>
      </c>
    </row>
    <row r="166" spans="1:9" ht="18" x14ac:dyDescent="0.2">
      <c r="A166" s="1">
        <v>45849</v>
      </c>
      <c r="B166" s="2">
        <v>76.09</v>
      </c>
      <c r="C166" s="2">
        <v>77.349999999999994</v>
      </c>
      <c r="D166" s="2">
        <v>76.08</v>
      </c>
      <c r="E166" s="2">
        <v>77.290000000000006</v>
      </c>
      <c r="F166" s="2">
        <v>77.290000000000006</v>
      </c>
      <c r="G166" s="3">
        <v>4487200</v>
      </c>
      <c r="I166">
        <f t="shared" si="2"/>
        <v>-2.4582740328632495E-2</v>
      </c>
    </row>
    <row r="167" spans="1:9" ht="18" x14ac:dyDescent="0.2">
      <c r="A167" s="1">
        <v>45848</v>
      </c>
      <c r="B167" s="2">
        <v>75.37</v>
      </c>
      <c r="C167" s="2">
        <v>75.92</v>
      </c>
      <c r="D167" s="2">
        <v>74.959999999999994</v>
      </c>
      <c r="E167" s="2">
        <v>75.39</v>
      </c>
      <c r="F167" s="2">
        <v>75.39</v>
      </c>
      <c r="G167" s="3">
        <v>6704000</v>
      </c>
      <c r="I167">
        <f t="shared" si="2"/>
        <v>2.0427112349118003E-2</v>
      </c>
    </row>
    <row r="168" spans="1:9" ht="18" x14ac:dyDescent="0.2">
      <c r="A168" s="1">
        <v>45847</v>
      </c>
      <c r="B168" s="2">
        <v>76.45</v>
      </c>
      <c r="C168" s="2">
        <v>77.52</v>
      </c>
      <c r="D168" s="2">
        <v>76.28</v>
      </c>
      <c r="E168" s="2">
        <v>76.930000000000007</v>
      </c>
      <c r="F168" s="2">
        <v>76.930000000000007</v>
      </c>
      <c r="G168" s="3">
        <v>3839700</v>
      </c>
      <c r="I168">
        <f t="shared" si="2"/>
        <v>3.8996490315854575E-4</v>
      </c>
    </row>
    <row r="169" spans="1:9" ht="18" x14ac:dyDescent="0.2">
      <c r="A169" s="1">
        <v>45846</v>
      </c>
      <c r="B169" s="2">
        <v>76.180000000000007</v>
      </c>
      <c r="C169" s="2">
        <v>77.59</v>
      </c>
      <c r="D169" s="2">
        <v>76.05</v>
      </c>
      <c r="E169" s="2">
        <v>76.959999999999994</v>
      </c>
      <c r="F169" s="2">
        <v>76.959999999999994</v>
      </c>
      <c r="G169" s="3">
        <v>4287200</v>
      </c>
      <c r="I169">
        <f t="shared" si="2"/>
        <v>-6.2370062370061046E-3</v>
      </c>
    </row>
    <row r="170" spans="1:9" ht="18" x14ac:dyDescent="0.2">
      <c r="A170" s="1">
        <v>45845</v>
      </c>
      <c r="B170" s="2">
        <v>75.84</v>
      </c>
      <c r="C170" s="2">
        <v>76.89</v>
      </c>
      <c r="D170" s="2">
        <v>75.569999999999993</v>
      </c>
      <c r="E170" s="2">
        <v>76.48</v>
      </c>
      <c r="F170" s="2">
        <v>76.48</v>
      </c>
      <c r="G170" s="3">
        <v>6155000</v>
      </c>
      <c r="I170">
        <f t="shared" si="2"/>
        <v>-1.6867154811715562E-2</v>
      </c>
    </row>
    <row r="171" spans="1:9" ht="18" x14ac:dyDescent="0.2">
      <c r="A171" s="1">
        <v>45841</v>
      </c>
      <c r="B171" s="2">
        <v>75.41</v>
      </c>
      <c r="C171" s="2">
        <v>75.92</v>
      </c>
      <c r="D171" s="2">
        <v>74.88</v>
      </c>
      <c r="E171" s="2">
        <v>75.19</v>
      </c>
      <c r="F171" s="2">
        <v>75.19</v>
      </c>
      <c r="G171" s="3">
        <v>4394800</v>
      </c>
      <c r="I171">
        <f t="shared" si="2"/>
        <v>5.3198563638782509E-3</v>
      </c>
    </row>
    <row r="172" spans="1:9" ht="18" x14ac:dyDescent="0.2">
      <c r="A172" s="1">
        <v>45840</v>
      </c>
      <c r="B172" s="2">
        <v>74.319999999999993</v>
      </c>
      <c r="C172" s="2">
        <v>76.02</v>
      </c>
      <c r="D172" s="2">
        <v>73.510000000000005</v>
      </c>
      <c r="E172" s="2">
        <v>75.59</v>
      </c>
      <c r="F172" s="2">
        <v>75.59</v>
      </c>
      <c r="G172" s="3">
        <v>6491400</v>
      </c>
      <c r="I172">
        <f t="shared" si="2"/>
        <v>-2.1960576795872423E-2</v>
      </c>
    </row>
    <row r="173" spans="1:9" ht="18" x14ac:dyDescent="0.2">
      <c r="A173" s="1">
        <v>45839</v>
      </c>
      <c r="B173" s="2">
        <v>73.61</v>
      </c>
      <c r="C173" s="2">
        <v>74.040000000000006</v>
      </c>
      <c r="D173" s="2">
        <v>73.319999999999993</v>
      </c>
      <c r="E173" s="2">
        <v>73.930000000000007</v>
      </c>
      <c r="F173" s="2">
        <v>73.930000000000007</v>
      </c>
      <c r="G173" s="3">
        <v>4425200</v>
      </c>
      <c r="I173">
        <f t="shared" si="2"/>
        <v>-1.1091573109698463E-2</v>
      </c>
    </row>
    <row r="174" spans="1:9" ht="18" x14ac:dyDescent="0.2">
      <c r="A174" s="1">
        <v>45838</v>
      </c>
      <c r="B174" s="2">
        <v>73.48</v>
      </c>
      <c r="C174" s="2">
        <v>73.63</v>
      </c>
      <c r="D174" s="2">
        <v>72.72</v>
      </c>
      <c r="E174" s="2">
        <v>73.11</v>
      </c>
      <c r="F174" s="2">
        <v>73.11</v>
      </c>
      <c r="G174" s="3">
        <v>5917500</v>
      </c>
      <c r="I174">
        <f t="shared" si="2"/>
        <v>2.3252633018739119E-3</v>
      </c>
    </row>
    <row r="175" spans="1:9" ht="18" x14ac:dyDescent="0.2">
      <c r="A175" s="1">
        <v>45835</v>
      </c>
      <c r="B175" s="2">
        <v>74.02</v>
      </c>
      <c r="C175" s="2">
        <v>74.34</v>
      </c>
      <c r="D175" s="2">
        <v>72.87</v>
      </c>
      <c r="E175" s="2">
        <v>73.28</v>
      </c>
      <c r="F175" s="2">
        <v>73.28</v>
      </c>
      <c r="G175" s="3">
        <v>11610800</v>
      </c>
      <c r="I175">
        <f t="shared" si="2"/>
        <v>4.2303493449781966E-3</v>
      </c>
    </row>
    <row r="176" spans="1:9" ht="18" x14ac:dyDescent="0.2">
      <c r="A176" s="1">
        <v>45834</v>
      </c>
      <c r="B176" s="2">
        <v>73.63</v>
      </c>
      <c r="C176" s="2">
        <v>74.680000000000007</v>
      </c>
      <c r="D176" s="2">
        <v>73.09</v>
      </c>
      <c r="E176" s="2">
        <v>73.59</v>
      </c>
      <c r="F176" s="2">
        <v>73.59</v>
      </c>
      <c r="G176" s="3">
        <v>9514900</v>
      </c>
      <c r="I176">
        <f t="shared" si="2"/>
        <v>-3.804864791411892E-3</v>
      </c>
    </row>
    <row r="177" spans="1:9" ht="18" x14ac:dyDescent="0.2">
      <c r="A177" s="1">
        <v>45833</v>
      </c>
      <c r="B177" s="2">
        <v>72.930000000000007</v>
      </c>
      <c r="C177" s="2">
        <v>74.23</v>
      </c>
      <c r="D177" s="2">
        <v>72.790000000000006</v>
      </c>
      <c r="E177" s="2">
        <v>73.31</v>
      </c>
      <c r="F177" s="2">
        <v>73.31</v>
      </c>
      <c r="G177" s="3">
        <v>12401000</v>
      </c>
      <c r="I177">
        <f t="shared" si="2"/>
        <v>-4.2286181966989808E-3</v>
      </c>
    </row>
    <row r="178" spans="1:9" ht="18" x14ac:dyDescent="0.2">
      <c r="A178" s="1">
        <v>45832</v>
      </c>
      <c r="B178" s="2">
        <v>73.34</v>
      </c>
      <c r="C178" s="2">
        <v>73.86</v>
      </c>
      <c r="D178" s="2">
        <v>71.97</v>
      </c>
      <c r="E178" s="2">
        <v>73</v>
      </c>
      <c r="F178" s="2">
        <v>73</v>
      </c>
      <c r="G178" s="3">
        <v>16119600</v>
      </c>
      <c r="I178">
        <f t="shared" si="2"/>
        <v>4.6712328767123244E-2</v>
      </c>
    </row>
    <row r="179" spans="1:9" ht="18" x14ac:dyDescent="0.2">
      <c r="A179" s="1">
        <v>45831</v>
      </c>
      <c r="B179" s="2">
        <v>83.25</v>
      </c>
      <c r="C179" s="2">
        <v>83.57</v>
      </c>
      <c r="D179" s="2">
        <v>76.41</v>
      </c>
      <c r="E179" s="2">
        <v>76.41</v>
      </c>
      <c r="F179" s="2">
        <v>76.41</v>
      </c>
      <c r="G179" s="3">
        <v>50659400</v>
      </c>
      <c r="I179">
        <f t="shared" si="2"/>
        <v>8.7815730925271673E-2</v>
      </c>
    </row>
    <row r="180" spans="1:9" ht="18" x14ac:dyDescent="0.2">
      <c r="A180" s="1">
        <v>45828</v>
      </c>
      <c r="B180" s="2">
        <v>82.25</v>
      </c>
      <c r="C180" s="2">
        <v>83.38</v>
      </c>
      <c r="D180" s="2">
        <v>81.86</v>
      </c>
      <c r="E180" s="2">
        <v>83.12</v>
      </c>
      <c r="F180" s="2">
        <v>83.12</v>
      </c>
      <c r="G180" s="3">
        <v>14229000</v>
      </c>
      <c r="I180">
        <f t="shared" si="2"/>
        <v>-1.0226179018286916E-2</v>
      </c>
    </row>
    <row r="181" spans="1:9" ht="18" x14ac:dyDescent="0.2">
      <c r="A181" s="1">
        <v>45826</v>
      </c>
      <c r="B181" s="2">
        <v>83.1</v>
      </c>
      <c r="C181" s="2">
        <v>83.46</v>
      </c>
      <c r="D181" s="2">
        <v>80.16</v>
      </c>
      <c r="E181" s="2">
        <v>82.27</v>
      </c>
      <c r="F181" s="2">
        <v>82.27</v>
      </c>
      <c r="G181" s="3">
        <v>36772300</v>
      </c>
      <c r="I181">
        <f t="shared" si="2"/>
        <v>3.6465297192173502E-4</v>
      </c>
    </row>
    <row r="182" spans="1:9" ht="18" x14ac:dyDescent="0.2">
      <c r="A182" s="1">
        <v>45825</v>
      </c>
      <c r="B182" s="2">
        <v>80.44</v>
      </c>
      <c r="C182" s="2">
        <v>82.89</v>
      </c>
      <c r="D182" s="2">
        <v>80.09</v>
      </c>
      <c r="E182" s="2">
        <v>82.3</v>
      </c>
      <c r="F182" s="2">
        <v>82.3</v>
      </c>
      <c r="G182" s="3">
        <v>26239300</v>
      </c>
      <c r="I182">
        <f t="shared" si="2"/>
        <v>-4.5078979343863838E-2</v>
      </c>
    </row>
    <row r="183" spans="1:9" ht="18" x14ac:dyDescent="0.2">
      <c r="A183" s="1">
        <v>45824</v>
      </c>
      <c r="B183" s="2">
        <v>79.010000000000005</v>
      </c>
      <c r="C183" s="2">
        <v>79.599999999999994</v>
      </c>
      <c r="D183" s="2">
        <v>76.25</v>
      </c>
      <c r="E183" s="2">
        <v>78.59</v>
      </c>
      <c r="F183" s="2">
        <v>78.59</v>
      </c>
      <c r="G183" s="3">
        <v>40622400</v>
      </c>
      <c r="I183">
        <f t="shared" si="2"/>
        <v>2.0740552233108479E-2</v>
      </c>
    </row>
    <row r="184" spans="1:9" ht="18" x14ac:dyDescent="0.2">
      <c r="A184" s="1">
        <v>45821</v>
      </c>
      <c r="B184" s="2">
        <v>80.47</v>
      </c>
      <c r="C184" s="2">
        <v>81.14</v>
      </c>
      <c r="D184" s="2">
        <v>78.64</v>
      </c>
      <c r="E184" s="2">
        <v>80.22</v>
      </c>
      <c r="F184" s="2">
        <v>80.22</v>
      </c>
      <c r="G184" s="3">
        <v>33971200</v>
      </c>
      <c r="I184">
        <f t="shared" si="2"/>
        <v>-6.4447768636250333E-2</v>
      </c>
    </row>
    <row r="185" spans="1:9" ht="18" x14ac:dyDescent="0.2">
      <c r="A185" s="1">
        <v>45820</v>
      </c>
      <c r="B185" s="2">
        <v>74.010000000000005</v>
      </c>
      <c r="C185" s="2">
        <v>75.41</v>
      </c>
      <c r="D185" s="2">
        <v>73.75</v>
      </c>
      <c r="E185" s="2">
        <v>75.05</v>
      </c>
      <c r="F185" s="2">
        <v>75.05</v>
      </c>
      <c r="G185" s="3">
        <v>11696900</v>
      </c>
      <c r="I185">
        <f t="shared" si="2"/>
        <v>-3.0646235842772015E-3</v>
      </c>
    </row>
    <row r="186" spans="1:9" ht="18" x14ac:dyDescent="0.2">
      <c r="A186" s="1">
        <v>45819</v>
      </c>
      <c r="B186" s="2">
        <v>73.02</v>
      </c>
      <c r="C186" s="2">
        <v>75.319999999999993</v>
      </c>
      <c r="D186" s="2">
        <v>72.8</v>
      </c>
      <c r="E186" s="2">
        <v>74.819999999999993</v>
      </c>
      <c r="F186" s="2">
        <v>74.819999999999993</v>
      </c>
      <c r="G186" s="3">
        <v>8888000</v>
      </c>
      <c r="I186">
        <f t="shared" si="2"/>
        <v>-4.3036621224271571E-2</v>
      </c>
    </row>
    <row r="187" spans="1:9" ht="18" x14ac:dyDescent="0.2">
      <c r="A187" s="1">
        <v>45818</v>
      </c>
      <c r="B187" s="2">
        <v>72.17</v>
      </c>
      <c r="C187" s="2">
        <v>73.069999999999993</v>
      </c>
      <c r="D187" s="2">
        <v>71.260000000000005</v>
      </c>
      <c r="E187" s="2">
        <v>71.599999999999994</v>
      </c>
      <c r="F187" s="2">
        <v>71.599999999999994</v>
      </c>
      <c r="G187" s="3">
        <v>5541900</v>
      </c>
      <c r="I187">
        <f t="shared" si="2"/>
        <v>6.2849162011173586E-3</v>
      </c>
    </row>
    <row r="188" spans="1:9" ht="18" x14ac:dyDescent="0.2">
      <c r="A188" s="1">
        <v>45817</v>
      </c>
      <c r="B188" s="2">
        <v>71.400000000000006</v>
      </c>
      <c r="C188" s="2">
        <v>72.180000000000007</v>
      </c>
      <c r="D188" s="2">
        <v>71.08</v>
      </c>
      <c r="E188" s="2">
        <v>72.05</v>
      </c>
      <c r="F188" s="2">
        <v>72.05</v>
      </c>
      <c r="G188" s="3">
        <v>2893900</v>
      </c>
      <c r="I188">
        <f t="shared" si="2"/>
        <v>-9.2990978487161938E-3</v>
      </c>
    </row>
    <row r="189" spans="1:9" ht="18" x14ac:dyDescent="0.2">
      <c r="A189" s="1">
        <v>45814</v>
      </c>
      <c r="B189" s="2">
        <v>70.36</v>
      </c>
      <c r="C189" s="2">
        <v>71.52</v>
      </c>
      <c r="D189" s="2">
        <v>70.36</v>
      </c>
      <c r="E189" s="2">
        <v>71.38</v>
      </c>
      <c r="F189" s="2">
        <v>71.38</v>
      </c>
      <c r="G189" s="3">
        <v>3488000</v>
      </c>
      <c r="I189">
        <f t="shared" si="2"/>
        <v>-2.0313813393107154E-2</v>
      </c>
    </row>
    <row r="190" spans="1:9" ht="18" x14ac:dyDescent="0.2">
      <c r="A190" s="1">
        <v>45813</v>
      </c>
      <c r="B190" s="2">
        <v>70.430000000000007</v>
      </c>
      <c r="C190" s="2">
        <v>70.61</v>
      </c>
      <c r="D190" s="2">
        <v>69.790000000000006</v>
      </c>
      <c r="E190" s="2">
        <v>69.930000000000007</v>
      </c>
      <c r="F190" s="2">
        <v>69.930000000000007</v>
      </c>
      <c r="G190" s="3">
        <v>2613700</v>
      </c>
      <c r="I190">
        <f t="shared" si="2"/>
        <v>-8.4370084370084843E-3</v>
      </c>
    </row>
    <row r="191" spans="1:9" ht="18" x14ac:dyDescent="0.2">
      <c r="A191" s="1">
        <v>45812</v>
      </c>
      <c r="B191" s="2">
        <v>70</v>
      </c>
      <c r="C191" s="2">
        <v>70.56</v>
      </c>
      <c r="D191" s="2">
        <v>68.64</v>
      </c>
      <c r="E191" s="2">
        <v>69.34</v>
      </c>
      <c r="F191" s="2">
        <v>69.34</v>
      </c>
      <c r="G191" s="3">
        <v>6455200</v>
      </c>
      <c r="I191">
        <f t="shared" si="2"/>
        <v>7.9319296221516747E-3</v>
      </c>
    </row>
    <row r="192" spans="1:9" ht="18" x14ac:dyDescent="0.2">
      <c r="A192" s="1">
        <v>45811</v>
      </c>
      <c r="B192" s="2">
        <v>69.62</v>
      </c>
      <c r="C192" s="2">
        <v>70.5</v>
      </c>
      <c r="D192" s="2">
        <v>69.37</v>
      </c>
      <c r="E192" s="2">
        <v>69.89</v>
      </c>
      <c r="F192" s="2">
        <v>69.89</v>
      </c>
      <c r="G192" s="3">
        <v>3996900</v>
      </c>
      <c r="I192">
        <f t="shared" si="2"/>
        <v>-4.8647875232508712E-3</v>
      </c>
    </row>
    <row r="193" spans="1:9" ht="18" x14ac:dyDescent="0.2">
      <c r="A193" s="1">
        <v>45810</v>
      </c>
      <c r="B193" s="2">
        <v>69.989999999999995</v>
      </c>
      <c r="C193" s="2">
        <v>70.040000000000006</v>
      </c>
      <c r="D193" s="2">
        <v>68.64</v>
      </c>
      <c r="E193" s="2">
        <v>69.55</v>
      </c>
      <c r="F193" s="2">
        <v>69.55</v>
      </c>
      <c r="G193" s="3">
        <v>7125100</v>
      </c>
      <c r="I193">
        <f t="shared" si="2"/>
        <v>-3.4507548526239995E-2</v>
      </c>
    </row>
    <row r="194" spans="1:9" ht="18" x14ac:dyDescent="0.2">
      <c r="A194" s="1">
        <v>45807</v>
      </c>
      <c r="B194" s="2">
        <v>67.099999999999994</v>
      </c>
      <c r="C194" s="2">
        <v>67.25</v>
      </c>
      <c r="D194" s="2">
        <v>65.959999999999994</v>
      </c>
      <c r="E194" s="2">
        <v>67.150000000000006</v>
      </c>
      <c r="F194" s="2">
        <v>67.150000000000006</v>
      </c>
      <c r="G194" s="3">
        <v>8793200</v>
      </c>
      <c r="I194">
        <f t="shared" si="2"/>
        <v>5.9568131049876454E-4</v>
      </c>
    </row>
    <row r="195" spans="1:9" ht="18" x14ac:dyDescent="0.2">
      <c r="A195" s="1">
        <v>45806</v>
      </c>
      <c r="B195" s="2">
        <v>67.63</v>
      </c>
      <c r="C195" s="2">
        <v>67.64</v>
      </c>
      <c r="D195" s="2">
        <v>66.78</v>
      </c>
      <c r="E195" s="2">
        <v>67.19</v>
      </c>
      <c r="F195" s="2">
        <v>67.19</v>
      </c>
      <c r="G195" s="3">
        <v>4856200</v>
      </c>
      <c r="I195">
        <f t="shared" ref="I195:I253" si="3">(E196-E195)/E195</f>
        <v>1.0418216996576914E-2</v>
      </c>
    </row>
    <row r="196" spans="1:9" ht="18" x14ac:dyDescent="0.2">
      <c r="A196" s="1">
        <v>45805</v>
      </c>
      <c r="B196" s="2">
        <v>68.33</v>
      </c>
      <c r="C196" s="2">
        <v>68.959999999999994</v>
      </c>
      <c r="D196" s="2">
        <v>67.83</v>
      </c>
      <c r="E196" s="2">
        <v>67.89</v>
      </c>
      <c r="F196" s="2">
        <v>67.89</v>
      </c>
      <c r="G196" s="3">
        <v>5201800</v>
      </c>
      <c r="I196">
        <f t="shared" si="3"/>
        <v>-8.9851229930770285E-3</v>
      </c>
    </row>
    <row r="197" spans="1:9" ht="18" x14ac:dyDescent="0.2">
      <c r="A197" s="1">
        <v>45804</v>
      </c>
      <c r="B197" s="2">
        <v>67.48</v>
      </c>
      <c r="C197" s="2">
        <v>67.599999999999994</v>
      </c>
      <c r="D197" s="2">
        <v>66.47</v>
      </c>
      <c r="E197" s="2">
        <v>67.28</v>
      </c>
      <c r="F197" s="2">
        <v>67.28</v>
      </c>
      <c r="G197" s="3">
        <v>3938200</v>
      </c>
      <c r="I197">
        <f t="shared" si="3"/>
        <v>1.0552913198573034E-2</v>
      </c>
    </row>
    <row r="198" spans="1:9" ht="18" x14ac:dyDescent="0.2">
      <c r="A198" s="1">
        <v>45800</v>
      </c>
      <c r="B198" s="2">
        <v>66.97</v>
      </c>
      <c r="C198" s="2">
        <v>68.22</v>
      </c>
      <c r="D198" s="2">
        <v>66.959999999999994</v>
      </c>
      <c r="E198" s="2">
        <v>67.989999999999995</v>
      </c>
      <c r="F198" s="2">
        <v>67.989999999999995</v>
      </c>
      <c r="G198" s="3">
        <v>4285000</v>
      </c>
      <c r="I198">
        <f t="shared" si="3"/>
        <v>-1.2501838505662515E-2</v>
      </c>
    </row>
    <row r="199" spans="1:9" ht="18" x14ac:dyDescent="0.2">
      <c r="A199" s="1">
        <v>45799</v>
      </c>
      <c r="B199" s="2">
        <v>66.88</v>
      </c>
      <c r="C199" s="2">
        <v>67.55</v>
      </c>
      <c r="D199" s="2">
        <v>66.569999999999993</v>
      </c>
      <c r="E199" s="2">
        <v>67.14</v>
      </c>
      <c r="F199" s="2">
        <v>67.14</v>
      </c>
      <c r="G199" s="3">
        <v>3512500</v>
      </c>
      <c r="I199">
        <f t="shared" si="3"/>
        <v>6.7024128686327504E-3</v>
      </c>
    </row>
    <row r="200" spans="1:9" ht="18" x14ac:dyDescent="0.2">
      <c r="A200" s="1">
        <v>45798</v>
      </c>
      <c r="B200" s="2">
        <v>69.14</v>
      </c>
      <c r="C200" s="2">
        <v>69.16</v>
      </c>
      <c r="D200" s="2">
        <v>67.569999999999993</v>
      </c>
      <c r="E200" s="2">
        <v>67.59</v>
      </c>
      <c r="F200" s="2">
        <v>67.59</v>
      </c>
      <c r="G200" s="3">
        <v>5467400</v>
      </c>
      <c r="I200">
        <f t="shared" si="3"/>
        <v>1.5830744192927845E-2</v>
      </c>
    </row>
    <row r="201" spans="1:9" ht="18" x14ac:dyDescent="0.2">
      <c r="A201" s="1">
        <v>45797</v>
      </c>
      <c r="B201" s="2">
        <v>68.37</v>
      </c>
      <c r="C201" s="2">
        <v>68.8</v>
      </c>
      <c r="D201" s="2">
        <v>67.78</v>
      </c>
      <c r="E201" s="2">
        <v>68.66</v>
      </c>
      <c r="F201" s="2">
        <v>68.66</v>
      </c>
      <c r="G201" s="3">
        <v>2786100</v>
      </c>
      <c r="I201">
        <f t="shared" si="3"/>
        <v>-2.1846781240895934E-3</v>
      </c>
    </row>
    <row r="202" spans="1:9" ht="18" x14ac:dyDescent="0.2">
      <c r="A202" s="1">
        <v>45796</v>
      </c>
      <c r="B202" s="2">
        <v>68.11</v>
      </c>
      <c r="C202" s="2">
        <v>69.099999999999994</v>
      </c>
      <c r="D202" s="2">
        <v>67.88</v>
      </c>
      <c r="E202" s="2">
        <v>68.510000000000005</v>
      </c>
      <c r="F202" s="2">
        <v>68.510000000000005</v>
      </c>
      <c r="G202" s="3">
        <v>5136900</v>
      </c>
      <c r="I202">
        <f t="shared" si="3"/>
        <v>-5.9845278061598419E-3</v>
      </c>
    </row>
    <row r="203" spans="1:9" ht="18" x14ac:dyDescent="0.2">
      <c r="A203" s="1">
        <v>45793</v>
      </c>
      <c r="B203" s="2">
        <v>67.83</v>
      </c>
      <c r="C203" s="2">
        <v>68.540000000000006</v>
      </c>
      <c r="D203" s="2">
        <v>67.42</v>
      </c>
      <c r="E203" s="2">
        <v>68.099999999999994</v>
      </c>
      <c r="F203" s="2">
        <v>68.099999999999994</v>
      </c>
      <c r="G203" s="3">
        <v>3769400</v>
      </c>
      <c r="I203">
        <f t="shared" si="3"/>
        <v>-7.488986784140836E-3</v>
      </c>
    </row>
    <row r="204" spans="1:9" ht="18" x14ac:dyDescent="0.2">
      <c r="A204" s="1">
        <v>45792</v>
      </c>
      <c r="B204" s="2">
        <v>67.41</v>
      </c>
      <c r="C204" s="2">
        <v>67.790000000000006</v>
      </c>
      <c r="D204" s="2">
        <v>66.87</v>
      </c>
      <c r="E204" s="2">
        <v>67.59</v>
      </c>
      <c r="F204" s="2">
        <v>67.59</v>
      </c>
      <c r="G204" s="3">
        <v>5263400</v>
      </c>
      <c r="I204">
        <f t="shared" si="3"/>
        <v>1.686640035508212E-2</v>
      </c>
    </row>
    <row r="205" spans="1:9" ht="18" x14ac:dyDescent="0.2">
      <c r="A205" s="1">
        <v>45791</v>
      </c>
      <c r="B205" s="2">
        <v>69.28</v>
      </c>
      <c r="C205" s="2">
        <v>69.55</v>
      </c>
      <c r="D205" s="2">
        <v>68.7</v>
      </c>
      <c r="E205" s="2">
        <v>68.73</v>
      </c>
      <c r="F205" s="2">
        <v>68.73</v>
      </c>
      <c r="G205" s="3">
        <v>2802500</v>
      </c>
      <c r="I205">
        <f t="shared" si="3"/>
        <v>1.2512730976284001E-2</v>
      </c>
    </row>
    <row r="206" spans="1:9" ht="18" x14ac:dyDescent="0.2">
      <c r="A206" s="1">
        <v>45790</v>
      </c>
      <c r="B206" s="2">
        <v>68.45</v>
      </c>
      <c r="C206" s="2">
        <v>69.88</v>
      </c>
      <c r="D206" s="2">
        <v>68.400000000000006</v>
      </c>
      <c r="E206" s="2">
        <v>69.59</v>
      </c>
      <c r="F206" s="2">
        <v>69.59</v>
      </c>
      <c r="G206" s="3">
        <v>4728000</v>
      </c>
      <c r="I206">
        <f t="shared" si="3"/>
        <v>-2.8596062652680113E-2</v>
      </c>
    </row>
    <row r="207" spans="1:9" ht="18" x14ac:dyDescent="0.2">
      <c r="A207" s="1">
        <v>45789</v>
      </c>
      <c r="B207" s="2">
        <v>69.08</v>
      </c>
      <c r="C207" s="2">
        <v>69.28</v>
      </c>
      <c r="D207" s="2">
        <v>67.48</v>
      </c>
      <c r="E207" s="2">
        <v>67.599999999999994</v>
      </c>
      <c r="F207" s="2">
        <v>67.599999999999994</v>
      </c>
      <c r="G207" s="3">
        <v>4861900</v>
      </c>
      <c r="I207">
        <f t="shared" si="3"/>
        <v>-1.4644970414201109E-2</v>
      </c>
    </row>
    <row r="208" spans="1:9" ht="18" x14ac:dyDescent="0.2">
      <c r="A208" s="1">
        <v>45786</v>
      </c>
      <c r="B208" s="2">
        <v>65.959999999999994</v>
      </c>
      <c r="C208" s="2">
        <v>66.819999999999993</v>
      </c>
      <c r="D208" s="2">
        <v>65.87</v>
      </c>
      <c r="E208" s="2">
        <v>66.61</v>
      </c>
      <c r="F208" s="2">
        <v>66.61</v>
      </c>
      <c r="G208" s="3">
        <v>4361300</v>
      </c>
      <c r="I208">
        <f t="shared" si="3"/>
        <v>-1.5162888455186986E-2</v>
      </c>
    </row>
    <row r="209" spans="1:9" ht="18" x14ac:dyDescent="0.2">
      <c r="A209" s="1">
        <v>45785</v>
      </c>
      <c r="B209" s="2">
        <v>64.44</v>
      </c>
      <c r="C209" s="2">
        <v>65.739999999999995</v>
      </c>
      <c r="D209" s="2">
        <v>64.430000000000007</v>
      </c>
      <c r="E209" s="2">
        <v>65.599999999999994</v>
      </c>
      <c r="F209" s="2">
        <v>65.599999999999994</v>
      </c>
      <c r="G209" s="3">
        <v>4643900</v>
      </c>
      <c r="I209">
        <f t="shared" si="3"/>
        <v>-3.1859756097560921E-2</v>
      </c>
    </row>
    <row r="210" spans="1:9" ht="18" x14ac:dyDescent="0.2">
      <c r="A210" s="1">
        <v>45784</v>
      </c>
      <c r="B210" s="2">
        <v>64.41</v>
      </c>
      <c r="C210" s="2">
        <v>64.67</v>
      </c>
      <c r="D210" s="2">
        <v>63.26</v>
      </c>
      <c r="E210" s="2">
        <v>63.51</v>
      </c>
      <c r="F210" s="2">
        <v>63.51</v>
      </c>
      <c r="G210" s="3">
        <v>4008500</v>
      </c>
      <c r="I210">
        <f t="shared" si="3"/>
        <v>1.7162651550936804E-2</v>
      </c>
    </row>
    <row r="211" spans="1:9" ht="18" x14ac:dyDescent="0.2">
      <c r="A211" s="1">
        <v>45783</v>
      </c>
      <c r="B211" s="2">
        <v>64.7</v>
      </c>
      <c r="C211" s="2">
        <v>65.41</v>
      </c>
      <c r="D211" s="2">
        <v>64.459999999999994</v>
      </c>
      <c r="E211" s="2">
        <v>64.599999999999994</v>
      </c>
      <c r="F211" s="2">
        <v>64.599999999999994</v>
      </c>
      <c r="G211" s="3">
        <v>5745700</v>
      </c>
      <c r="I211">
        <f t="shared" si="3"/>
        <v>-3.4520123839009244E-2</v>
      </c>
    </row>
    <row r="212" spans="1:9" ht="18" x14ac:dyDescent="0.2">
      <c r="A212" s="1">
        <v>45782</v>
      </c>
      <c r="B212" s="2">
        <v>62.85</v>
      </c>
      <c r="C212" s="2">
        <v>63.02</v>
      </c>
      <c r="D212" s="2">
        <v>61.75</v>
      </c>
      <c r="E212" s="2">
        <v>62.37</v>
      </c>
      <c r="F212" s="2">
        <v>62.37</v>
      </c>
      <c r="G212" s="3">
        <v>4867100</v>
      </c>
      <c r="I212">
        <f t="shared" si="3"/>
        <v>2.6294692961359754E-2</v>
      </c>
    </row>
    <row r="213" spans="1:9" ht="18" x14ac:dyDescent="0.2">
      <c r="A213" s="1">
        <v>45779</v>
      </c>
      <c r="B213" s="2">
        <v>64.53</v>
      </c>
      <c r="C213" s="2">
        <v>64.599999999999994</v>
      </c>
      <c r="D213" s="2">
        <v>63.11</v>
      </c>
      <c r="E213" s="2">
        <v>64.010000000000005</v>
      </c>
      <c r="F213" s="2">
        <v>64.010000000000005</v>
      </c>
      <c r="G213" s="3">
        <v>7095900</v>
      </c>
      <c r="I213">
        <f t="shared" si="3"/>
        <v>7.9675050773315246E-3</v>
      </c>
    </row>
    <row r="214" spans="1:9" ht="18" x14ac:dyDescent="0.2">
      <c r="A214" s="1">
        <v>45778</v>
      </c>
      <c r="B214" s="2">
        <v>63.59</v>
      </c>
      <c r="C214" s="2">
        <v>65.08</v>
      </c>
      <c r="D214" s="2">
        <v>63.1</v>
      </c>
      <c r="E214" s="2">
        <v>64.52</v>
      </c>
      <c r="F214" s="2">
        <v>64.52</v>
      </c>
      <c r="G214" s="3">
        <v>10673900</v>
      </c>
      <c r="I214">
        <f t="shared" si="3"/>
        <v>-1.4879107253564691E-2</v>
      </c>
    </row>
    <row r="215" spans="1:9" ht="18" x14ac:dyDescent="0.2">
      <c r="A215" s="1">
        <v>45777</v>
      </c>
      <c r="B215" s="2">
        <v>65.45</v>
      </c>
      <c r="C215" s="2">
        <v>65.72</v>
      </c>
      <c r="D215" s="2">
        <v>63.3</v>
      </c>
      <c r="E215" s="2">
        <v>63.56</v>
      </c>
      <c r="F215" s="2">
        <v>63.56</v>
      </c>
      <c r="G215" s="3">
        <v>10236300</v>
      </c>
      <c r="I215">
        <f t="shared" si="3"/>
        <v>3.6028949024543615E-2</v>
      </c>
    </row>
    <row r="216" spans="1:9" ht="18" x14ac:dyDescent="0.2">
      <c r="A216" s="1">
        <v>45776</v>
      </c>
      <c r="B216" s="2">
        <v>66.69</v>
      </c>
      <c r="C216" s="2">
        <v>66.81</v>
      </c>
      <c r="D216" s="2">
        <v>65.83</v>
      </c>
      <c r="E216" s="2">
        <v>65.849999999999994</v>
      </c>
      <c r="F216" s="2">
        <v>65.849999999999994</v>
      </c>
      <c r="G216" s="3">
        <v>4650000</v>
      </c>
      <c r="I216">
        <f t="shared" si="3"/>
        <v>2.9005315110098875E-2</v>
      </c>
    </row>
    <row r="217" spans="1:9" ht="18" x14ac:dyDescent="0.2">
      <c r="A217" s="1">
        <v>45775</v>
      </c>
      <c r="B217" s="2">
        <v>68.87</v>
      </c>
      <c r="C217" s="2">
        <v>69.040000000000006</v>
      </c>
      <c r="D217" s="2">
        <v>67.17</v>
      </c>
      <c r="E217" s="2">
        <v>67.760000000000005</v>
      </c>
      <c r="F217" s="2">
        <v>67.760000000000005</v>
      </c>
      <c r="G217" s="3">
        <v>3232700</v>
      </c>
      <c r="I217">
        <f t="shared" si="3"/>
        <v>1.8742621015348227E-2</v>
      </c>
    </row>
    <row r="218" spans="1:9" ht="18" x14ac:dyDescent="0.2">
      <c r="A218" s="1">
        <v>45772</v>
      </c>
      <c r="B218" s="2">
        <v>68.05</v>
      </c>
      <c r="C218" s="2">
        <v>69.180000000000007</v>
      </c>
      <c r="D218" s="2">
        <v>68.040000000000006</v>
      </c>
      <c r="E218" s="2">
        <v>69.03</v>
      </c>
      <c r="F218" s="2">
        <v>69.03</v>
      </c>
      <c r="G218" s="3">
        <v>3272100</v>
      </c>
      <c r="I218">
        <f t="shared" si="3"/>
        <v>-8.2572794437202283E-3</v>
      </c>
    </row>
    <row r="219" spans="1:9" ht="18" x14ac:dyDescent="0.2">
      <c r="A219" s="1">
        <v>45771</v>
      </c>
      <c r="B219" s="2">
        <v>68.650000000000006</v>
      </c>
      <c r="C219" s="2">
        <v>68.86</v>
      </c>
      <c r="D219" s="2">
        <v>67.7</v>
      </c>
      <c r="E219" s="2">
        <v>68.459999999999994</v>
      </c>
      <c r="F219" s="2">
        <v>68.459999999999994</v>
      </c>
      <c r="G219" s="3">
        <v>4336600</v>
      </c>
      <c r="I219">
        <f t="shared" si="3"/>
        <v>-5.9888986269353876E-3</v>
      </c>
    </row>
    <row r="220" spans="1:9" ht="18" x14ac:dyDescent="0.2">
      <c r="A220" s="1">
        <v>45770</v>
      </c>
      <c r="B220" s="2">
        <v>68.989999999999995</v>
      </c>
      <c r="C220" s="2">
        <v>69.81</v>
      </c>
      <c r="D220" s="2">
        <v>67.19</v>
      </c>
      <c r="E220" s="2">
        <v>68.05</v>
      </c>
      <c r="F220" s="2">
        <v>68.05</v>
      </c>
      <c r="G220" s="3">
        <v>8908500</v>
      </c>
      <c r="I220">
        <f t="shared" si="3"/>
        <v>1.9397501836884753E-2</v>
      </c>
    </row>
    <row r="221" spans="1:9" ht="18" x14ac:dyDescent="0.2">
      <c r="A221" s="1">
        <v>45769</v>
      </c>
      <c r="B221" s="2">
        <v>68.89</v>
      </c>
      <c r="C221" s="2">
        <v>70.27</v>
      </c>
      <c r="D221" s="2">
        <v>68.72</v>
      </c>
      <c r="E221" s="2">
        <v>69.37</v>
      </c>
      <c r="F221" s="2">
        <v>69.37</v>
      </c>
      <c r="G221" s="3">
        <v>4499000</v>
      </c>
      <c r="I221">
        <f t="shared" si="3"/>
        <v>-1.081159002450627E-2</v>
      </c>
    </row>
    <row r="222" spans="1:9" ht="18" x14ac:dyDescent="0.2">
      <c r="A222" s="1">
        <v>45768</v>
      </c>
      <c r="B222" s="2">
        <v>68.27</v>
      </c>
      <c r="C222" s="2">
        <v>68.66</v>
      </c>
      <c r="D222" s="2">
        <v>67.44</v>
      </c>
      <c r="E222" s="2">
        <v>68.62</v>
      </c>
      <c r="F222" s="2">
        <v>68.62</v>
      </c>
      <c r="G222" s="3">
        <v>2343000</v>
      </c>
      <c r="I222">
        <f t="shared" si="3"/>
        <v>1.2532789274264053E-2</v>
      </c>
    </row>
    <row r="223" spans="1:9" ht="18" x14ac:dyDescent="0.2">
      <c r="A223" s="1">
        <v>45764</v>
      </c>
      <c r="B223" s="2">
        <v>68.349999999999994</v>
      </c>
      <c r="C223" s="2">
        <v>70.05</v>
      </c>
      <c r="D223" s="2">
        <v>68.150000000000006</v>
      </c>
      <c r="E223" s="2">
        <v>69.48</v>
      </c>
      <c r="F223" s="2">
        <v>69.48</v>
      </c>
      <c r="G223" s="3">
        <v>4776800</v>
      </c>
      <c r="I223">
        <f t="shared" si="3"/>
        <v>-2.4899251583189463E-2</v>
      </c>
    </row>
    <row r="224" spans="1:9" ht="18" x14ac:dyDescent="0.2">
      <c r="A224" s="1">
        <v>45763</v>
      </c>
      <c r="B224" s="2">
        <v>66.989999999999995</v>
      </c>
      <c r="C224" s="2">
        <v>67.97</v>
      </c>
      <c r="D224" s="2">
        <v>66.989999999999995</v>
      </c>
      <c r="E224" s="2">
        <v>67.75</v>
      </c>
      <c r="F224" s="2">
        <v>67.75</v>
      </c>
      <c r="G224" s="3">
        <v>5452100</v>
      </c>
      <c r="I224">
        <f t="shared" si="3"/>
        <v>-1.8745387453874478E-2</v>
      </c>
    </row>
    <row r="225" spans="1:9" ht="18" x14ac:dyDescent="0.2">
      <c r="A225" s="1">
        <v>45762</v>
      </c>
      <c r="B225" s="2">
        <v>66.47</v>
      </c>
      <c r="C225" s="2">
        <v>66.92</v>
      </c>
      <c r="D225" s="2">
        <v>65.92</v>
      </c>
      <c r="E225" s="2">
        <v>66.48</v>
      </c>
      <c r="F225" s="2">
        <v>66.48</v>
      </c>
      <c r="G225" s="3">
        <v>1779200</v>
      </c>
      <c r="I225">
        <f t="shared" si="3"/>
        <v>2.707581227436712E-3</v>
      </c>
    </row>
    <row r="226" spans="1:9" ht="18" x14ac:dyDescent="0.2">
      <c r="A226" s="1">
        <v>45761</v>
      </c>
      <c r="B226" s="2">
        <v>67.12</v>
      </c>
      <c r="C226" s="2">
        <v>67.13</v>
      </c>
      <c r="D226" s="2">
        <v>65.62</v>
      </c>
      <c r="E226" s="2">
        <v>66.66</v>
      </c>
      <c r="F226" s="2">
        <v>66.66</v>
      </c>
      <c r="G226" s="3">
        <v>3146200</v>
      </c>
      <c r="I226">
        <f t="shared" si="3"/>
        <v>-3.000300030003043E-3</v>
      </c>
    </row>
    <row r="227" spans="1:9" ht="18" x14ac:dyDescent="0.2">
      <c r="A227" s="1">
        <v>45758</v>
      </c>
      <c r="B227" s="2">
        <v>64.650000000000006</v>
      </c>
      <c r="C227" s="2">
        <v>66.790000000000006</v>
      </c>
      <c r="D227" s="2">
        <v>64.5</v>
      </c>
      <c r="E227" s="2">
        <v>66.459999999999994</v>
      </c>
      <c r="F227" s="2">
        <v>66.459999999999994</v>
      </c>
      <c r="G227" s="3">
        <v>4386200</v>
      </c>
      <c r="I227">
        <f t="shared" si="3"/>
        <v>-1.7153174842010243E-2</v>
      </c>
    </row>
    <row r="228" spans="1:9" ht="18" x14ac:dyDescent="0.2">
      <c r="A228" s="1">
        <v>45757</v>
      </c>
      <c r="B228" s="2">
        <v>64.77</v>
      </c>
      <c r="C228" s="2">
        <v>65.47</v>
      </c>
      <c r="D228" s="2">
        <v>63.6</v>
      </c>
      <c r="E228" s="2">
        <v>65.319999999999993</v>
      </c>
      <c r="F228" s="2">
        <v>65.319999999999993</v>
      </c>
      <c r="G228" s="3">
        <v>6596700</v>
      </c>
      <c r="I228">
        <f t="shared" si="3"/>
        <v>3.4598897734231561E-2</v>
      </c>
    </row>
    <row r="229" spans="1:9" ht="18" x14ac:dyDescent="0.2">
      <c r="A229" s="1">
        <v>45756</v>
      </c>
      <c r="B229" s="2">
        <v>61.73</v>
      </c>
      <c r="C229" s="2">
        <v>68.05</v>
      </c>
      <c r="D229" s="2">
        <v>60.67</v>
      </c>
      <c r="E229" s="2">
        <v>67.58</v>
      </c>
      <c r="F229" s="2">
        <v>67.58</v>
      </c>
      <c r="G229" s="3">
        <v>15313000</v>
      </c>
      <c r="I229">
        <f t="shared" si="3"/>
        <v>-6.2740455756140789E-2</v>
      </c>
    </row>
    <row r="230" spans="1:9" ht="18" x14ac:dyDescent="0.2">
      <c r="A230" s="1">
        <v>45755</v>
      </c>
      <c r="B230" s="2">
        <v>66.599999999999994</v>
      </c>
      <c r="C230" s="2">
        <v>66.8</v>
      </c>
      <c r="D230" s="2">
        <v>62.74</v>
      </c>
      <c r="E230" s="2">
        <v>63.34</v>
      </c>
      <c r="F230" s="2">
        <v>63.34</v>
      </c>
      <c r="G230" s="3">
        <v>8411300</v>
      </c>
      <c r="I230">
        <f t="shared" si="3"/>
        <v>4.1679823176507744E-2</v>
      </c>
    </row>
    <row r="231" spans="1:9" ht="18" x14ac:dyDescent="0.2">
      <c r="A231" s="1">
        <v>45754</v>
      </c>
      <c r="B231" s="2">
        <v>65.64</v>
      </c>
      <c r="C231" s="2">
        <v>69.2</v>
      </c>
      <c r="D231" s="2">
        <v>64.94</v>
      </c>
      <c r="E231" s="2">
        <v>65.98</v>
      </c>
      <c r="F231" s="2">
        <v>65.98</v>
      </c>
      <c r="G231" s="3">
        <v>7869100</v>
      </c>
      <c r="I231">
        <f t="shared" si="3"/>
        <v>2.9402849348287324E-2</v>
      </c>
    </row>
    <row r="232" spans="1:9" ht="18" x14ac:dyDescent="0.2">
      <c r="A232" s="1">
        <v>45751</v>
      </c>
      <c r="B232" s="2">
        <v>66.900000000000006</v>
      </c>
      <c r="C232" s="2">
        <v>68.42</v>
      </c>
      <c r="D232" s="2">
        <v>65.5</v>
      </c>
      <c r="E232" s="2">
        <v>67.92</v>
      </c>
      <c r="F232" s="2">
        <v>67.92</v>
      </c>
      <c r="G232" s="3">
        <v>9319900</v>
      </c>
      <c r="I232">
        <f t="shared" si="3"/>
        <v>6.3751472320376881E-2</v>
      </c>
    </row>
    <row r="233" spans="1:9" ht="18" x14ac:dyDescent="0.2">
      <c r="A233" s="1">
        <v>45750</v>
      </c>
      <c r="B233" s="2">
        <v>72.16</v>
      </c>
      <c r="C233" s="2">
        <v>72.7</v>
      </c>
      <c r="D233" s="2">
        <v>71.44</v>
      </c>
      <c r="E233" s="2">
        <v>72.25</v>
      </c>
      <c r="F233" s="2">
        <v>72.25</v>
      </c>
      <c r="G233" s="3">
        <v>6279800</v>
      </c>
      <c r="I233">
        <f t="shared" si="3"/>
        <v>7.5986159169550108E-2</v>
      </c>
    </row>
    <row r="234" spans="1:9" ht="18" x14ac:dyDescent="0.2">
      <c r="A234" s="1">
        <v>45749</v>
      </c>
      <c r="B234" s="2">
        <v>76.72</v>
      </c>
      <c r="C234" s="2">
        <v>77.86</v>
      </c>
      <c r="D234" s="2">
        <v>76.69</v>
      </c>
      <c r="E234" s="2">
        <v>77.739999999999995</v>
      </c>
      <c r="F234" s="2">
        <v>77.739999999999995</v>
      </c>
      <c r="G234" s="3">
        <v>2808400</v>
      </c>
      <c r="I234">
        <f t="shared" si="3"/>
        <v>-8.4898379212760052E-3</v>
      </c>
    </row>
    <row r="235" spans="1:9" ht="18" x14ac:dyDescent="0.2">
      <c r="A235" s="1">
        <v>45748</v>
      </c>
      <c r="B235" s="2">
        <v>77.599999999999994</v>
      </c>
      <c r="C235" s="2">
        <v>78.010000000000005</v>
      </c>
      <c r="D235" s="2">
        <v>76.88</v>
      </c>
      <c r="E235" s="2">
        <v>77.08</v>
      </c>
      <c r="F235" s="2">
        <v>77.08</v>
      </c>
      <c r="G235" s="3">
        <v>2753900</v>
      </c>
      <c r="I235">
        <f t="shared" si="3"/>
        <v>3.2433834976647639E-3</v>
      </c>
    </row>
    <row r="236" spans="1:9" ht="18" x14ac:dyDescent="0.2">
      <c r="A236" s="1">
        <v>45747</v>
      </c>
      <c r="B236" s="2">
        <v>75.52</v>
      </c>
      <c r="C236" s="2">
        <v>77.72</v>
      </c>
      <c r="D236" s="2">
        <v>75.28</v>
      </c>
      <c r="E236" s="2">
        <v>77.33</v>
      </c>
      <c r="F236" s="2">
        <v>77.33</v>
      </c>
      <c r="G236" s="3">
        <v>3147400</v>
      </c>
      <c r="I236">
        <f t="shared" si="3"/>
        <v>-3.3104875210138399E-2</v>
      </c>
    </row>
    <row r="237" spans="1:9" ht="18" x14ac:dyDescent="0.2">
      <c r="A237" s="1">
        <v>45744</v>
      </c>
      <c r="B237" s="2">
        <v>75.52</v>
      </c>
      <c r="C237" s="2">
        <v>75.540000000000006</v>
      </c>
      <c r="D237" s="2">
        <v>74.540000000000006</v>
      </c>
      <c r="E237" s="2">
        <v>74.77</v>
      </c>
      <c r="F237" s="2">
        <v>74.77</v>
      </c>
      <c r="G237" s="3">
        <v>2430300</v>
      </c>
      <c r="I237">
        <f t="shared" si="3"/>
        <v>9.4957870803799391E-3</v>
      </c>
    </row>
    <row r="238" spans="1:9" ht="18" x14ac:dyDescent="0.2">
      <c r="A238" s="1">
        <v>45743</v>
      </c>
      <c r="B238" s="2">
        <v>75.260000000000005</v>
      </c>
      <c r="C238" s="2">
        <v>75.680000000000007</v>
      </c>
      <c r="D238" s="2">
        <v>74.78</v>
      </c>
      <c r="E238" s="2">
        <v>75.48</v>
      </c>
      <c r="F238" s="2">
        <v>75.48</v>
      </c>
      <c r="G238" s="3">
        <v>1590800</v>
      </c>
      <c r="I238">
        <f t="shared" si="3"/>
        <v>-7.9491255961847205E-4</v>
      </c>
    </row>
    <row r="239" spans="1:9" ht="18" x14ac:dyDescent="0.2">
      <c r="A239" s="1">
        <v>45742</v>
      </c>
      <c r="B239" s="2">
        <v>75.34</v>
      </c>
      <c r="C239" s="2">
        <v>75.94</v>
      </c>
      <c r="D239" s="2">
        <v>75.13</v>
      </c>
      <c r="E239" s="2">
        <v>75.42</v>
      </c>
      <c r="F239" s="2">
        <v>75.42</v>
      </c>
      <c r="G239" s="3">
        <v>2469600</v>
      </c>
      <c r="I239">
        <f t="shared" si="3"/>
        <v>-7.9554494828958967E-3</v>
      </c>
    </row>
    <row r="240" spans="1:9" ht="18" x14ac:dyDescent="0.2">
      <c r="A240" s="1">
        <v>45741</v>
      </c>
      <c r="B240" s="2">
        <v>75.23</v>
      </c>
      <c r="C240" s="2">
        <v>75.36</v>
      </c>
      <c r="D240" s="2">
        <v>74.12</v>
      </c>
      <c r="E240" s="2">
        <v>74.819999999999993</v>
      </c>
      <c r="F240" s="2">
        <v>74.819999999999993</v>
      </c>
      <c r="G240" s="3">
        <v>1922900</v>
      </c>
      <c r="I240">
        <f t="shared" si="3"/>
        <v>8.0192461908583639E-4</v>
      </c>
    </row>
    <row r="241" spans="1:9" ht="18" x14ac:dyDescent="0.2">
      <c r="A241" s="1">
        <v>45740</v>
      </c>
      <c r="B241" s="2">
        <v>74.13</v>
      </c>
      <c r="C241" s="2">
        <v>74.97</v>
      </c>
      <c r="D241" s="2">
        <v>73.94</v>
      </c>
      <c r="E241" s="2">
        <v>74.88</v>
      </c>
      <c r="F241" s="2">
        <v>74.88</v>
      </c>
      <c r="G241" s="3">
        <v>2755300</v>
      </c>
      <c r="I241">
        <f t="shared" si="3"/>
        <v>-1.4556623931623788E-2</v>
      </c>
    </row>
    <row r="242" spans="1:9" ht="18" x14ac:dyDescent="0.2">
      <c r="A242" s="1">
        <v>45737</v>
      </c>
      <c r="B242" s="2">
        <v>73.39</v>
      </c>
      <c r="C242" s="2">
        <v>73.959999999999994</v>
      </c>
      <c r="D242" s="2">
        <v>73.14</v>
      </c>
      <c r="E242" s="2">
        <v>73.790000000000006</v>
      </c>
      <c r="F242" s="2">
        <v>73.790000000000006</v>
      </c>
      <c r="G242" s="3">
        <v>1528800</v>
      </c>
      <c r="I242">
        <f t="shared" si="3"/>
        <v>-8.1311830871394865E-4</v>
      </c>
    </row>
    <row r="243" spans="1:9" ht="18" x14ac:dyDescent="0.2">
      <c r="A243" s="1">
        <v>45736</v>
      </c>
      <c r="B243" s="2">
        <v>72.23</v>
      </c>
      <c r="C243" s="2">
        <v>73.8</v>
      </c>
      <c r="D243" s="2">
        <v>72.040000000000006</v>
      </c>
      <c r="E243" s="2">
        <v>73.73</v>
      </c>
      <c r="F243" s="2">
        <v>73.73</v>
      </c>
      <c r="G243" s="3">
        <v>2523100</v>
      </c>
      <c r="I243">
        <f t="shared" si="3"/>
        <v>-1.7767530177675333E-2</v>
      </c>
    </row>
    <row r="244" spans="1:9" ht="18" x14ac:dyDescent="0.2">
      <c r="A244" s="1">
        <v>45735</v>
      </c>
      <c r="B244" s="2">
        <v>72.08</v>
      </c>
      <c r="C244" s="2">
        <v>72.88</v>
      </c>
      <c r="D244" s="2">
        <v>71.930000000000007</v>
      </c>
      <c r="E244" s="2">
        <v>72.42</v>
      </c>
      <c r="F244" s="2">
        <v>72.42</v>
      </c>
      <c r="G244" s="3">
        <v>1747400</v>
      </c>
      <c r="I244">
        <f t="shared" si="3"/>
        <v>-2.8997514498758348E-3</v>
      </c>
    </row>
    <row r="245" spans="1:9" ht="18" x14ac:dyDescent="0.2">
      <c r="A245" s="1">
        <v>45734</v>
      </c>
      <c r="B245" s="2">
        <v>73.39</v>
      </c>
      <c r="C245" s="2">
        <v>73.489999999999995</v>
      </c>
      <c r="D245" s="2">
        <v>71.97</v>
      </c>
      <c r="E245" s="2">
        <v>72.209999999999994</v>
      </c>
      <c r="F245" s="2">
        <v>72.209999999999994</v>
      </c>
      <c r="G245" s="3">
        <v>2739000</v>
      </c>
      <c r="I245">
        <f t="shared" si="3"/>
        <v>6.9242487190139873E-3</v>
      </c>
    </row>
    <row r="246" spans="1:9" ht="18" x14ac:dyDescent="0.2">
      <c r="A246" s="1">
        <v>45733</v>
      </c>
      <c r="B246" s="2">
        <v>72.98</v>
      </c>
      <c r="C246" s="2">
        <v>73.17</v>
      </c>
      <c r="D246" s="2">
        <v>72.430000000000007</v>
      </c>
      <c r="E246" s="2">
        <v>72.709999999999994</v>
      </c>
      <c r="F246" s="2">
        <v>72.709999999999994</v>
      </c>
      <c r="G246" s="3">
        <v>2873700</v>
      </c>
      <c r="I246">
        <f t="shared" si="3"/>
        <v>-5.9139045523310778E-3</v>
      </c>
    </row>
    <row r="247" spans="1:9" ht="18" x14ac:dyDescent="0.2">
      <c r="A247" s="1">
        <v>45730</v>
      </c>
      <c r="B247" s="2">
        <v>71.89</v>
      </c>
      <c r="C247" s="2">
        <v>72.430000000000007</v>
      </c>
      <c r="D247" s="2">
        <v>71.650000000000006</v>
      </c>
      <c r="E247" s="2">
        <v>72.28</v>
      </c>
      <c r="F247" s="2">
        <v>72.28</v>
      </c>
      <c r="G247" s="3">
        <v>2054600</v>
      </c>
      <c r="I247">
        <f t="shared" si="3"/>
        <v>-9.1311566131709546E-3</v>
      </c>
    </row>
    <row r="248" spans="1:9" ht="18" x14ac:dyDescent="0.2">
      <c r="A248" s="1">
        <v>45729</v>
      </c>
      <c r="B248" s="2">
        <v>72.08</v>
      </c>
      <c r="C248" s="2">
        <v>72.44</v>
      </c>
      <c r="D248" s="2">
        <v>71.41</v>
      </c>
      <c r="E248" s="2">
        <v>71.62</v>
      </c>
      <c r="F248" s="2">
        <v>71.62</v>
      </c>
      <c r="G248" s="3">
        <v>3119100</v>
      </c>
      <c r="I248">
        <f t="shared" si="3"/>
        <v>1.647584473610713E-2</v>
      </c>
    </row>
    <row r="249" spans="1:9" ht="18" x14ac:dyDescent="0.2">
      <c r="A249" s="1">
        <v>45728</v>
      </c>
      <c r="B249" s="2">
        <v>72.319999999999993</v>
      </c>
      <c r="C249" s="2">
        <v>72.97</v>
      </c>
      <c r="D249" s="2">
        <v>72.040000000000006</v>
      </c>
      <c r="E249" s="2">
        <v>72.8</v>
      </c>
      <c r="F249" s="2">
        <v>72.8</v>
      </c>
      <c r="G249" s="3">
        <v>2389100</v>
      </c>
      <c r="I249">
        <f t="shared" si="3"/>
        <v>-1.8543956043955968E-2</v>
      </c>
    </row>
    <row r="250" spans="1:9" ht="18" x14ac:dyDescent="0.2">
      <c r="A250" s="1">
        <v>45727</v>
      </c>
      <c r="B250" s="2">
        <v>71.8</v>
      </c>
      <c r="C250" s="2">
        <v>72.17</v>
      </c>
      <c r="D250" s="2">
        <v>70.98</v>
      </c>
      <c r="E250" s="2">
        <v>71.45</v>
      </c>
      <c r="F250" s="2">
        <v>71.45</v>
      </c>
      <c r="G250" s="3">
        <v>1876200</v>
      </c>
      <c r="I250">
        <f t="shared" si="3"/>
        <v>-7.8376487053884152E-3</v>
      </c>
    </row>
    <row r="251" spans="1:9" ht="18" x14ac:dyDescent="0.2">
      <c r="A251" s="1">
        <v>45726</v>
      </c>
      <c r="B251" s="2">
        <v>72.06</v>
      </c>
      <c r="C251" s="2">
        <v>72.25</v>
      </c>
      <c r="D251" s="2">
        <v>70.739999999999995</v>
      </c>
      <c r="E251" s="2">
        <v>70.89</v>
      </c>
      <c r="F251" s="2">
        <v>70.89</v>
      </c>
      <c r="G251" s="3">
        <v>1777100</v>
      </c>
      <c r="I251">
        <f t="shared" si="3"/>
        <v>1.6927634363097795E-2</v>
      </c>
    </row>
    <row r="252" spans="1:9" ht="18" x14ac:dyDescent="0.2">
      <c r="A252" s="1">
        <v>45723</v>
      </c>
      <c r="B252" s="2">
        <v>72.739999999999995</v>
      </c>
      <c r="C252" s="2">
        <v>73.31</v>
      </c>
      <c r="D252" s="2">
        <v>71.77</v>
      </c>
      <c r="E252" s="2">
        <v>72.09</v>
      </c>
      <c r="F252" s="2">
        <v>72.09</v>
      </c>
      <c r="G252" s="3">
        <v>4195700</v>
      </c>
      <c r="I252">
        <f t="shared" si="3"/>
        <v>-1.3316687473990955E-2</v>
      </c>
    </row>
    <row r="253" spans="1:9" ht="18" x14ac:dyDescent="0.2">
      <c r="A253" s="1">
        <v>45722</v>
      </c>
      <c r="B253" s="2">
        <v>71.37</v>
      </c>
      <c r="C253" s="2">
        <v>72.02</v>
      </c>
      <c r="D253" s="2">
        <v>70.489999999999995</v>
      </c>
      <c r="E253" s="2">
        <v>71.13</v>
      </c>
      <c r="F253" s="2">
        <v>71.13</v>
      </c>
      <c r="G253" s="3">
        <v>3038700</v>
      </c>
      <c r="I253">
        <f t="shared" si="3"/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6A4A-127A-C845-A119-E51B082847A6}">
  <dimension ref="A1:G257"/>
  <sheetViews>
    <sheetView topLeftCell="A14" zoomScale="16" workbookViewId="0">
      <selection activeCell="K266" sqref="K266"/>
    </sheetView>
  </sheetViews>
  <sheetFormatPr baseColWidth="10" defaultRowHeight="16" x14ac:dyDescent="0.2"/>
  <cols>
    <col min="1" max="1" width="14.83203125" bestFit="1" customWidth="1"/>
    <col min="2" max="7" width="11" bestFit="1" customWidth="1"/>
  </cols>
  <sheetData>
    <row r="1" spans="1:7" x14ac:dyDescent="0.2">
      <c r="A1" t="s">
        <v>0</v>
      </c>
      <c r="B1" t="s">
        <v>11</v>
      </c>
      <c r="C1" t="s">
        <v>12</v>
      </c>
      <c r="D1" t="s">
        <v>13</v>
      </c>
      <c r="E1" t="s">
        <v>10</v>
      </c>
      <c r="F1" t="s">
        <v>14</v>
      </c>
      <c r="G1" t="s">
        <v>15</v>
      </c>
    </row>
    <row r="2" spans="1:7" ht="18" x14ac:dyDescent="0.2">
      <c r="A2" s="1">
        <v>46087</v>
      </c>
      <c r="B2" s="2">
        <v>151.9</v>
      </c>
      <c r="C2" s="2">
        <v>189.41</v>
      </c>
      <c r="D2" s="2">
        <v>108.42</v>
      </c>
      <c r="E2">
        <f>(B3-B2)/B2</f>
        <v>-7.5049374588546068E-3</v>
      </c>
      <c r="F2">
        <f>(C3-C2)/C2</f>
        <v>2.5869806240431292E-3</v>
      </c>
      <c r="G2">
        <f>(D3-D2)/D2</f>
        <v>-0.11169525917727356</v>
      </c>
    </row>
    <row r="3" spans="1:7" ht="18" x14ac:dyDescent="0.2">
      <c r="A3" s="1">
        <v>46086</v>
      </c>
      <c r="B3" s="2">
        <v>150.76</v>
      </c>
      <c r="C3" s="2">
        <v>189.9</v>
      </c>
      <c r="D3" s="2">
        <v>96.31</v>
      </c>
      <c r="E3">
        <f t="shared" ref="E3:E66" si="0">(B4-B3)/B3</f>
        <v>-6.2350756168744878E-3</v>
      </c>
      <c r="F3">
        <f t="shared" ref="F3:F66" si="1">(C4-C3)/C3</f>
        <v>-2.0379146919431303E-2</v>
      </c>
      <c r="G3">
        <f t="shared" ref="G3:G66" si="2">(D4-D3)/D3</f>
        <v>-4.9319904475132383E-2</v>
      </c>
    </row>
    <row r="4" spans="1:7" ht="18" x14ac:dyDescent="0.2">
      <c r="A4" s="1">
        <v>46085</v>
      </c>
      <c r="B4" s="2">
        <v>149.82</v>
      </c>
      <c r="C4" s="2">
        <v>186.03</v>
      </c>
      <c r="D4" s="2">
        <v>91.56</v>
      </c>
      <c r="E4">
        <f t="shared" si="0"/>
        <v>1.3416099319183149E-2</v>
      </c>
      <c r="F4">
        <f t="shared" si="1"/>
        <v>1.4728807181637419E-2</v>
      </c>
      <c r="G4">
        <f t="shared" si="2"/>
        <v>-1.4853647881170811E-2</v>
      </c>
    </row>
    <row r="5" spans="1:7" ht="18" x14ac:dyDescent="0.2">
      <c r="A5" s="1">
        <v>46084</v>
      </c>
      <c r="B5" s="2">
        <v>151.83000000000001</v>
      </c>
      <c r="C5" s="2">
        <v>188.77</v>
      </c>
      <c r="D5" s="2">
        <v>90.2</v>
      </c>
      <c r="E5">
        <f t="shared" si="0"/>
        <v>1.5741289600210671E-2</v>
      </c>
      <c r="F5">
        <f t="shared" si="1"/>
        <v>4.3968850982676489E-3</v>
      </c>
      <c r="G5">
        <f t="shared" si="2"/>
        <v>-3.3370288248337085E-2</v>
      </c>
    </row>
    <row r="6" spans="1:7" ht="18" x14ac:dyDescent="0.2">
      <c r="A6" s="1">
        <v>46083</v>
      </c>
      <c r="B6" s="2">
        <v>154.22</v>
      </c>
      <c r="C6" s="2">
        <v>189.6</v>
      </c>
      <c r="D6" s="2">
        <v>87.19</v>
      </c>
      <c r="E6">
        <f t="shared" si="0"/>
        <v>-1.1152898456750091E-2</v>
      </c>
      <c r="F6">
        <f t="shared" si="1"/>
        <v>-1.4978902953586516E-2</v>
      </c>
      <c r="G6">
        <f t="shared" si="2"/>
        <v>-6.0098635164583039E-2</v>
      </c>
    </row>
    <row r="7" spans="1:7" ht="18" x14ac:dyDescent="0.2">
      <c r="A7" s="1">
        <v>46080</v>
      </c>
      <c r="B7" s="2">
        <v>152.5</v>
      </c>
      <c r="C7" s="2">
        <v>186.76</v>
      </c>
      <c r="D7" s="2">
        <v>81.95</v>
      </c>
      <c r="E7">
        <f t="shared" si="0"/>
        <v>-2.596721311475415E-2</v>
      </c>
      <c r="F7">
        <f t="shared" si="1"/>
        <v>-1.3921610623259769E-2</v>
      </c>
      <c r="G7">
        <f t="shared" si="2"/>
        <v>-2.6601586333130041E-2</v>
      </c>
    </row>
    <row r="8" spans="1:7" ht="18" x14ac:dyDescent="0.2">
      <c r="A8" s="1">
        <v>46079</v>
      </c>
      <c r="B8" s="2">
        <v>148.54</v>
      </c>
      <c r="C8" s="2">
        <v>184.16</v>
      </c>
      <c r="D8" s="2">
        <v>79.77</v>
      </c>
      <c r="E8">
        <f t="shared" si="0"/>
        <v>3.5007405412684142E-3</v>
      </c>
      <c r="F8">
        <f t="shared" si="1"/>
        <v>3.2580364900088114E-4</v>
      </c>
      <c r="G8">
        <f t="shared" si="2"/>
        <v>-5.0144164472849502E-4</v>
      </c>
    </row>
    <row r="9" spans="1:7" ht="18" x14ac:dyDescent="0.2">
      <c r="A9" s="1">
        <v>46078</v>
      </c>
      <c r="B9" s="2">
        <v>149.06</v>
      </c>
      <c r="C9" s="2">
        <v>184.22</v>
      </c>
      <c r="D9" s="2">
        <v>79.73</v>
      </c>
      <c r="E9">
        <f t="shared" si="0"/>
        <v>1.3417415805715056E-3</v>
      </c>
      <c r="F9">
        <f t="shared" si="1"/>
        <v>6.079687330365892E-3</v>
      </c>
      <c r="G9">
        <f t="shared" si="2"/>
        <v>1.2918600275931282E-2</v>
      </c>
    </row>
    <row r="10" spans="1:7" ht="18" x14ac:dyDescent="0.2">
      <c r="A10" s="1">
        <v>46077</v>
      </c>
      <c r="B10" s="2">
        <v>149.26</v>
      </c>
      <c r="C10" s="2">
        <v>185.34</v>
      </c>
      <c r="D10" s="2">
        <v>80.760000000000005</v>
      </c>
      <c r="E10">
        <f t="shared" si="0"/>
        <v>1.0049577917727455E-2</v>
      </c>
      <c r="F10">
        <f t="shared" si="1"/>
        <v>-2.3200604294809908E-3</v>
      </c>
      <c r="G10">
        <f t="shared" si="2"/>
        <v>1.7335314512134789E-3</v>
      </c>
    </row>
    <row r="11" spans="1:7" ht="18" x14ac:dyDescent="0.2">
      <c r="A11" s="1">
        <v>46076</v>
      </c>
      <c r="B11" s="2">
        <v>150.76</v>
      </c>
      <c r="C11" s="2">
        <v>184.91</v>
      </c>
      <c r="D11" s="2">
        <v>80.900000000000006</v>
      </c>
      <c r="E11">
        <f t="shared" si="0"/>
        <v>-2.3083045900769369E-2</v>
      </c>
      <c r="F11">
        <f t="shared" si="1"/>
        <v>-5.2998756151640784E-3</v>
      </c>
      <c r="G11">
        <f t="shared" si="2"/>
        <v>-6.1804697156997977E-4</v>
      </c>
    </row>
    <row r="12" spans="1:7" ht="18" x14ac:dyDescent="0.2">
      <c r="A12" s="1">
        <v>46073</v>
      </c>
      <c r="B12" s="2">
        <v>147.28</v>
      </c>
      <c r="C12" s="2">
        <v>183.93</v>
      </c>
      <c r="D12" s="2">
        <v>80.849999999999994</v>
      </c>
      <c r="E12">
        <f t="shared" si="0"/>
        <v>2.5054318305268861E-2</v>
      </c>
      <c r="F12">
        <f t="shared" si="1"/>
        <v>4.6213233295275069E-3</v>
      </c>
      <c r="G12">
        <f t="shared" si="2"/>
        <v>4.205318491032819E-3</v>
      </c>
    </row>
    <row r="13" spans="1:7" ht="18" x14ac:dyDescent="0.2">
      <c r="A13" s="1">
        <v>46072</v>
      </c>
      <c r="B13" s="2">
        <v>150.97</v>
      </c>
      <c r="C13" s="2">
        <v>184.78</v>
      </c>
      <c r="D13" s="2">
        <v>81.19</v>
      </c>
      <c r="E13">
        <f t="shared" si="0"/>
        <v>-1.9209114393587603E-3</v>
      </c>
      <c r="F13">
        <f t="shared" si="1"/>
        <v>-4.9247754085939852E-3</v>
      </c>
      <c r="G13">
        <f t="shared" si="2"/>
        <v>-2.2047050129326173E-2</v>
      </c>
    </row>
    <row r="14" spans="1:7" ht="18" x14ac:dyDescent="0.2">
      <c r="A14" s="1">
        <v>46071</v>
      </c>
      <c r="B14" s="2">
        <v>150.68</v>
      </c>
      <c r="C14" s="2">
        <v>183.87</v>
      </c>
      <c r="D14" s="2">
        <v>79.400000000000006</v>
      </c>
      <c r="E14">
        <f t="shared" si="0"/>
        <v>-2.9798247942660002E-2</v>
      </c>
      <c r="F14">
        <f t="shared" si="1"/>
        <v>-1.8056235383694965E-2</v>
      </c>
      <c r="G14">
        <f t="shared" si="2"/>
        <v>-4.622166246851387E-2</v>
      </c>
    </row>
    <row r="15" spans="1:7" ht="18" x14ac:dyDescent="0.2">
      <c r="A15" s="1">
        <v>46070</v>
      </c>
      <c r="B15" s="2">
        <v>146.19</v>
      </c>
      <c r="C15" s="2">
        <v>180.55</v>
      </c>
      <c r="D15" s="2">
        <v>75.73</v>
      </c>
      <c r="E15">
        <f t="shared" si="0"/>
        <v>1.5459333743758061E-2</v>
      </c>
      <c r="F15">
        <f t="shared" si="1"/>
        <v>7.8094710606480006E-3</v>
      </c>
      <c r="G15">
        <f t="shared" si="2"/>
        <v>6.4703552092961157E-3</v>
      </c>
    </row>
    <row r="16" spans="1:7" ht="18" x14ac:dyDescent="0.2">
      <c r="A16" s="1">
        <v>46066</v>
      </c>
      <c r="B16" s="2">
        <v>148.44999999999999</v>
      </c>
      <c r="C16" s="2">
        <v>181.96</v>
      </c>
      <c r="D16" s="2">
        <v>76.22</v>
      </c>
      <c r="E16">
        <f t="shared" si="0"/>
        <v>9.969686763220062E-3</v>
      </c>
      <c r="F16">
        <f t="shared" si="1"/>
        <v>-7.3092987469774258E-3</v>
      </c>
      <c r="G16">
        <f t="shared" si="2"/>
        <v>2.0991865652059379E-3</v>
      </c>
    </row>
    <row r="17" spans="1:7" ht="18" x14ac:dyDescent="0.2">
      <c r="A17" s="1">
        <v>46065</v>
      </c>
      <c r="B17" s="2">
        <v>149.93</v>
      </c>
      <c r="C17" s="2">
        <v>180.63</v>
      </c>
      <c r="D17" s="2">
        <v>76.38</v>
      </c>
      <c r="E17">
        <f t="shared" si="0"/>
        <v>3.0680984459414355E-2</v>
      </c>
      <c r="F17">
        <f t="shared" si="1"/>
        <v>1.8767646570337235E-2</v>
      </c>
      <c r="G17">
        <f t="shared" si="2"/>
        <v>3.2862005760670401E-2</v>
      </c>
    </row>
    <row r="18" spans="1:7" ht="18" x14ac:dyDescent="0.2">
      <c r="A18" s="1">
        <v>46064</v>
      </c>
      <c r="B18" s="2">
        <v>154.53</v>
      </c>
      <c r="C18" s="2">
        <v>184.02</v>
      </c>
      <c r="D18" s="2">
        <v>78.89</v>
      </c>
      <c r="E18">
        <f t="shared" si="0"/>
        <v>-2.5496667313790189E-2</v>
      </c>
      <c r="F18">
        <f t="shared" si="1"/>
        <v>-1.9182697532876866E-2</v>
      </c>
      <c r="G18">
        <f t="shared" si="2"/>
        <v>-1.0901254911902643E-2</v>
      </c>
    </row>
    <row r="19" spans="1:7" ht="18" x14ac:dyDescent="0.2">
      <c r="A19" s="1">
        <v>46063</v>
      </c>
      <c r="B19" s="2">
        <v>150.59</v>
      </c>
      <c r="C19" s="2">
        <v>180.49</v>
      </c>
      <c r="D19" s="2">
        <v>78.03</v>
      </c>
      <c r="E19">
        <f t="shared" si="0"/>
        <v>-2.5234079288133041E-3</v>
      </c>
      <c r="F19">
        <f t="shared" si="1"/>
        <v>1.8837608731785882E-3</v>
      </c>
      <c r="G19">
        <f t="shared" si="2"/>
        <v>-1.2815583749846361E-4</v>
      </c>
    </row>
    <row r="20" spans="1:7" ht="18" x14ac:dyDescent="0.2">
      <c r="A20" s="1">
        <v>46062</v>
      </c>
      <c r="B20" s="2">
        <v>150.21</v>
      </c>
      <c r="C20" s="2">
        <v>180.83</v>
      </c>
      <c r="D20" s="2">
        <v>78.02</v>
      </c>
      <c r="E20">
        <f t="shared" si="0"/>
        <v>-1.4313294720724356E-2</v>
      </c>
      <c r="F20">
        <f t="shared" si="1"/>
        <v>-9.511696068130281E-3</v>
      </c>
      <c r="G20">
        <f t="shared" si="2"/>
        <v>-1.3201743142783917E-2</v>
      </c>
    </row>
    <row r="21" spans="1:7" ht="18" x14ac:dyDescent="0.2">
      <c r="A21" s="1">
        <v>46059</v>
      </c>
      <c r="B21" s="2">
        <v>148.06</v>
      </c>
      <c r="C21" s="2">
        <v>179.11</v>
      </c>
      <c r="D21" s="2">
        <v>76.989999999999995</v>
      </c>
      <c r="E21">
        <f t="shared" si="0"/>
        <v>-1.9924354991219698E-2</v>
      </c>
      <c r="F21">
        <f t="shared" si="1"/>
        <v>-9.0447211210987911E-3</v>
      </c>
      <c r="G21">
        <f t="shared" si="2"/>
        <v>-3.896609949344034E-3</v>
      </c>
    </row>
    <row r="22" spans="1:7" ht="18" x14ac:dyDescent="0.2">
      <c r="A22" s="1">
        <v>46058</v>
      </c>
      <c r="B22" s="2">
        <v>145.11000000000001</v>
      </c>
      <c r="C22" s="2">
        <v>177.49</v>
      </c>
      <c r="D22" s="2">
        <v>76.69</v>
      </c>
      <c r="E22">
        <f t="shared" si="0"/>
        <v>1.0336985734959685E-2</v>
      </c>
      <c r="F22">
        <f t="shared" si="1"/>
        <v>1.1155558059608934E-2</v>
      </c>
      <c r="G22">
        <f t="shared" si="2"/>
        <v>1.5517016560177309E-2</v>
      </c>
    </row>
    <row r="23" spans="1:7" ht="18" x14ac:dyDescent="0.2">
      <c r="A23" s="1">
        <v>46057</v>
      </c>
      <c r="B23" s="2">
        <v>146.61000000000001</v>
      </c>
      <c r="C23" s="2">
        <v>179.47</v>
      </c>
      <c r="D23" s="2">
        <v>77.88</v>
      </c>
      <c r="E23">
        <f t="shared" si="0"/>
        <v>-2.6123729622808897E-2</v>
      </c>
      <c r="F23">
        <f t="shared" si="1"/>
        <v>-1.7551679946509198E-2</v>
      </c>
      <c r="G23">
        <f t="shared" si="2"/>
        <v>-5.2645095017975936E-3</v>
      </c>
    </row>
    <row r="24" spans="1:7" ht="18" x14ac:dyDescent="0.2">
      <c r="A24" s="1">
        <v>46056</v>
      </c>
      <c r="B24" s="2">
        <v>142.78</v>
      </c>
      <c r="C24" s="2">
        <v>176.32</v>
      </c>
      <c r="D24" s="2">
        <v>77.47</v>
      </c>
      <c r="E24">
        <f t="shared" si="0"/>
        <v>-3.7120044824205153E-2</v>
      </c>
      <c r="F24">
        <f t="shared" si="1"/>
        <v>-2.2572595281306659E-2</v>
      </c>
      <c r="G24">
        <f t="shared" si="2"/>
        <v>-2.7623596230799026E-2</v>
      </c>
    </row>
    <row r="25" spans="1:7" ht="18" x14ac:dyDescent="0.2">
      <c r="A25" s="1">
        <v>46055</v>
      </c>
      <c r="B25" s="2">
        <v>137.47999999999999</v>
      </c>
      <c r="C25" s="2">
        <v>172.34</v>
      </c>
      <c r="D25" s="2">
        <v>75.33</v>
      </c>
      <c r="E25">
        <f t="shared" si="0"/>
        <v>2.1675880128018753E-2</v>
      </c>
      <c r="F25">
        <f t="shared" si="1"/>
        <v>1.6537077869328041E-2</v>
      </c>
      <c r="G25">
        <f t="shared" si="2"/>
        <v>5.562193017390147E-2</v>
      </c>
    </row>
    <row r="26" spans="1:7" ht="18" x14ac:dyDescent="0.2">
      <c r="A26" s="1">
        <v>46052</v>
      </c>
      <c r="B26" s="2">
        <v>140.46</v>
      </c>
      <c r="C26" s="2">
        <v>175.19</v>
      </c>
      <c r="D26" s="2">
        <v>79.52</v>
      </c>
      <c r="E26">
        <f t="shared" si="0"/>
        <v>-6.2651288623095215E-3</v>
      </c>
      <c r="F26">
        <f t="shared" si="1"/>
        <v>-3.230778012443631E-2</v>
      </c>
      <c r="G26">
        <f t="shared" si="2"/>
        <v>-4.7786720321931018E-3</v>
      </c>
    </row>
    <row r="27" spans="1:7" ht="18" x14ac:dyDescent="0.2">
      <c r="A27" s="1">
        <v>46051</v>
      </c>
      <c r="B27" s="2">
        <v>139.58000000000001</v>
      </c>
      <c r="C27" s="2">
        <v>169.53</v>
      </c>
      <c r="D27" s="2">
        <v>79.14</v>
      </c>
      <c r="E27">
        <f t="shared" si="0"/>
        <v>-2.0848259062903173E-2</v>
      </c>
      <c r="F27">
        <f t="shared" si="1"/>
        <v>-7.3733262549401284E-3</v>
      </c>
      <c r="G27">
        <f t="shared" si="2"/>
        <v>-3.1842304776345663E-2</v>
      </c>
    </row>
    <row r="28" spans="1:7" ht="18" x14ac:dyDescent="0.2">
      <c r="A28" s="1">
        <v>46050</v>
      </c>
      <c r="B28" s="2">
        <v>136.66999999999999</v>
      </c>
      <c r="C28" s="2">
        <v>168.28</v>
      </c>
      <c r="D28" s="2">
        <v>76.62</v>
      </c>
      <c r="E28">
        <f t="shared" si="0"/>
        <v>-5.4876710324138437E-3</v>
      </c>
      <c r="F28">
        <f t="shared" si="1"/>
        <v>-5.1699548371761618E-3</v>
      </c>
      <c r="G28">
        <f t="shared" si="2"/>
        <v>-1.2529365700861496E-2</v>
      </c>
    </row>
    <row r="29" spans="1:7" ht="18" x14ac:dyDescent="0.2">
      <c r="A29" s="1">
        <v>46049</v>
      </c>
      <c r="B29" s="2">
        <v>135.91999999999999</v>
      </c>
      <c r="C29" s="2">
        <v>167.41</v>
      </c>
      <c r="D29" s="2">
        <v>75.66</v>
      </c>
      <c r="E29">
        <f t="shared" si="0"/>
        <v>-1.4493819894055319E-2</v>
      </c>
      <c r="F29">
        <f t="shared" si="1"/>
        <v>-9.1392389940863818E-3</v>
      </c>
      <c r="G29">
        <f t="shared" si="2"/>
        <v>-2.8813111287337996E-2</v>
      </c>
    </row>
    <row r="30" spans="1:7" ht="18" x14ac:dyDescent="0.2">
      <c r="A30" s="1">
        <v>46048</v>
      </c>
      <c r="B30" s="2">
        <v>133.94999999999999</v>
      </c>
      <c r="C30" s="2">
        <v>165.88</v>
      </c>
      <c r="D30" s="2">
        <v>73.48</v>
      </c>
      <c r="E30">
        <f t="shared" si="0"/>
        <v>9.7051138484526977E-4</v>
      </c>
      <c r="F30">
        <f t="shared" si="1"/>
        <v>-4.7021943573667783E-3</v>
      </c>
      <c r="G30">
        <f t="shared" si="2"/>
        <v>6.396298312465961E-3</v>
      </c>
    </row>
    <row r="31" spans="1:7" ht="18" x14ac:dyDescent="0.2">
      <c r="A31" s="1">
        <v>46045</v>
      </c>
      <c r="B31" s="2">
        <v>134.08000000000001</v>
      </c>
      <c r="C31" s="2">
        <v>165.1</v>
      </c>
      <c r="D31" s="2">
        <v>73.95</v>
      </c>
      <c r="E31">
        <f t="shared" si="0"/>
        <v>-9.8448687350836932E-3</v>
      </c>
      <c r="F31">
        <f t="shared" si="1"/>
        <v>-3.0284675953956965E-4</v>
      </c>
      <c r="G31">
        <f t="shared" si="2"/>
        <v>-2.8803245436105605E-2</v>
      </c>
    </row>
    <row r="32" spans="1:7" ht="18" x14ac:dyDescent="0.2">
      <c r="A32" s="1">
        <v>46044</v>
      </c>
      <c r="B32" s="2">
        <v>132.76</v>
      </c>
      <c r="C32" s="2">
        <v>165.05</v>
      </c>
      <c r="D32" s="2">
        <v>71.819999999999993</v>
      </c>
      <c r="E32">
        <f t="shared" si="0"/>
        <v>-2.259716782163388E-4</v>
      </c>
      <c r="F32">
        <f t="shared" si="1"/>
        <v>3.6352620418056512E-4</v>
      </c>
      <c r="G32">
        <f t="shared" si="2"/>
        <v>2.1164021164021309E-2</v>
      </c>
    </row>
    <row r="33" spans="1:7" ht="18" x14ac:dyDescent="0.2">
      <c r="A33" s="1">
        <v>46043</v>
      </c>
      <c r="B33" s="2">
        <v>132.72999999999999</v>
      </c>
      <c r="C33" s="2">
        <v>165.11</v>
      </c>
      <c r="D33" s="2">
        <v>73.34</v>
      </c>
      <c r="E33">
        <f t="shared" si="0"/>
        <v>-2.3581707225193971E-2</v>
      </c>
      <c r="F33">
        <f t="shared" si="1"/>
        <v>-8.5397613712072246E-3</v>
      </c>
      <c r="G33">
        <f t="shared" si="2"/>
        <v>-2.0179983637851159E-2</v>
      </c>
    </row>
    <row r="34" spans="1:7" ht="18" x14ac:dyDescent="0.2">
      <c r="A34" s="1">
        <v>46042</v>
      </c>
      <c r="B34" s="2">
        <v>129.6</v>
      </c>
      <c r="C34" s="2">
        <v>163.69999999999999</v>
      </c>
      <c r="D34" s="2">
        <v>71.86</v>
      </c>
      <c r="E34">
        <f t="shared" si="0"/>
        <v>-4.3981481481480955E-3</v>
      </c>
      <c r="F34">
        <f t="shared" si="1"/>
        <v>5.8032987171656517E-3</v>
      </c>
      <c r="G34">
        <f t="shared" si="2"/>
        <v>-2.9223490119676281E-3</v>
      </c>
    </row>
    <row r="35" spans="1:7" ht="18" x14ac:dyDescent="0.2">
      <c r="A35" s="1">
        <v>46038</v>
      </c>
      <c r="B35" s="2">
        <v>129.03</v>
      </c>
      <c r="C35" s="2">
        <v>164.65</v>
      </c>
      <c r="D35" s="2">
        <v>71.650000000000006</v>
      </c>
      <c r="E35">
        <f t="shared" si="0"/>
        <v>-5.8126017205301092E-3</v>
      </c>
      <c r="F35">
        <f t="shared" si="1"/>
        <v>-6.0734892195562899E-4</v>
      </c>
      <c r="G35">
        <f t="shared" si="2"/>
        <v>-7.2575017445919076E-3</v>
      </c>
    </row>
    <row r="36" spans="1:7" ht="18" x14ac:dyDescent="0.2">
      <c r="A36" s="1">
        <v>46037</v>
      </c>
      <c r="B36" s="2">
        <v>128.28</v>
      </c>
      <c r="C36" s="2">
        <v>164.55</v>
      </c>
      <c r="D36" s="2">
        <v>71.13</v>
      </c>
      <c r="E36">
        <f t="shared" si="0"/>
        <v>8.263174306205193E-3</v>
      </c>
      <c r="F36">
        <f t="shared" si="1"/>
        <v>6.5025828015800253E-3</v>
      </c>
      <c r="G36">
        <f t="shared" si="2"/>
        <v>2.0806973147757684E-2</v>
      </c>
    </row>
    <row r="37" spans="1:7" ht="18" x14ac:dyDescent="0.2">
      <c r="A37" s="1">
        <v>46036</v>
      </c>
      <c r="B37" s="2">
        <v>129.34</v>
      </c>
      <c r="C37" s="2">
        <v>165.62</v>
      </c>
      <c r="D37" s="2">
        <v>72.61</v>
      </c>
      <c r="E37">
        <f t="shared" si="0"/>
        <v>-2.814287923302923E-2</v>
      </c>
      <c r="F37">
        <f t="shared" si="1"/>
        <v>-2.0166646540272934E-2</v>
      </c>
      <c r="G37">
        <f t="shared" si="2"/>
        <v>1.1981820685856005E-2</v>
      </c>
    </row>
    <row r="38" spans="1:7" ht="18" x14ac:dyDescent="0.2">
      <c r="A38" s="1">
        <v>46035</v>
      </c>
      <c r="B38" s="2">
        <v>125.7</v>
      </c>
      <c r="C38" s="2">
        <v>162.28</v>
      </c>
      <c r="D38" s="2">
        <v>73.48</v>
      </c>
      <c r="E38">
        <f t="shared" si="0"/>
        <v>-1.9809069212410574E-2</v>
      </c>
      <c r="F38">
        <f t="shared" si="1"/>
        <v>-9.3049051022922775E-3</v>
      </c>
      <c r="G38">
        <f t="shared" si="2"/>
        <v>-2.4904735982580268E-2</v>
      </c>
    </row>
    <row r="39" spans="1:7" ht="18" x14ac:dyDescent="0.2">
      <c r="A39" s="1">
        <v>46034</v>
      </c>
      <c r="B39" s="2">
        <v>123.21</v>
      </c>
      <c r="C39" s="2">
        <v>160.77000000000001</v>
      </c>
      <c r="D39" s="2">
        <v>71.650000000000006</v>
      </c>
      <c r="E39">
        <f t="shared" si="0"/>
        <v>4.6262478694911726E-3</v>
      </c>
      <c r="F39">
        <f t="shared" si="1"/>
        <v>-1.4306151645208569E-3</v>
      </c>
      <c r="G39">
        <f t="shared" si="2"/>
        <v>-1.2142358688067055E-2</v>
      </c>
    </row>
    <row r="40" spans="1:7" ht="18" x14ac:dyDescent="0.2">
      <c r="A40" s="1">
        <v>46031</v>
      </c>
      <c r="B40" s="2">
        <v>123.78</v>
      </c>
      <c r="C40" s="2">
        <v>160.54</v>
      </c>
      <c r="D40" s="2">
        <v>70.78</v>
      </c>
      <c r="E40">
        <f t="shared" si="0"/>
        <v>-1.3572467280659289E-2</v>
      </c>
      <c r="F40">
        <f t="shared" si="1"/>
        <v>-1.7628005481499839E-2</v>
      </c>
      <c r="G40">
        <f t="shared" si="2"/>
        <v>-3.3907883582932311E-3</v>
      </c>
    </row>
    <row r="41" spans="1:7" ht="18" x14ac:dyDescent="0.2">
      <c r="A41" s="1">
        <v>46030</v>
      </c>
      <c r="B41" s="2">
        <v>122.1</v>
      </c>
      <c r="C41" s="2">
        <v>157.71</v>
      </c>
      <c r="D41" s="2">
        <v>70.540000000000006</v>
      </c>
      <c r="E41">
        <f t="shared" si="0"/>
        <v>-3.5954135954135963E-2</v>
      </c>
      <c r="F41">
        <f t="shared" si="1"/>
        <v>-2.5426415572887065E-2</v>
      </c>
      <c r="G41">
        <f t="shared" si="2"/>
        <v>-3.8984973064927694E-2</v>
      </c>
    </row>
    <row r="42" spans="1:7" ht="18" x14ac:dyDescent="0.2">
      <c r="A42" s="1">
        <v>46029</v>
      </c>
      <c r="B42" s="2">
        <v>117.71</v>
      </c>
      <c r="C42" s="2">
        <v>153.69999999999999</v>
      </c>
      <c r="D42" s="2">
        <v>67.790000000000006</v>
      </c>
      <c r="E42">
        <f t="shared" si="0"/>
        <v>2.1578455526293488E-2</v>
      </c>
      <c r="F42">
        <f t="shared" si="1"/>
        <v>8.5881587508134134E-3</v>
      </c>
      <c r="G42">
        <f t="shared" si="2"/>
        <v>1.0621035550966201E-2</v>
      </c>
    </row>
    <row r="43" spans="1:7" ht="18" x14ac:dyDescent="0.2">
      <c r="A43" s="1">
        <v>46028</v>
      </c>
      <c r="B43" s="2">
        <v>120.25</v>
      </c>
      <c r="C43" s="2">
        <v>155.02000000000001</v>
      </c>
      <c r="D43" s="2">
        <v>68.510000000000005</v>
      </c>
      <c r="E43">
        <f t="shared" si="0"/>
        <v>3.5592515592515604E-2</v>
      </c>
      <c r="F43">
        <f t="shared" si="1"/>
        <v>4.6703651141788032E-2</v>
      </c>
      <c r="G43">
        <f t="shared" si="2"/>
        <v>2.4959859874470788E-2</v>
      </c>
    </row>
    <row r="44" spans="1:7" ht="18" x14ac:dyDescent="0.2">
      <c r="A44" s="1">
        <v>46027</v>
      </c>
      <c r="B44" s="2">
        <v>124.53</v>
      </c>
      <c r="C44" s="2">
        <v>162.26</v>
      </c>
      <c r="D44" s="2">
        <v>70.22</v>
      </c>
      <c r="E44">
        <f t="shared" si="0"/>
        <v>-2.1601220589416187E-2</v>
      </c>
      <c r="F44">
        <f t="shared" si="1"/>
        <v>-4.8502403549858283E-2</v>
      </c>
      <c r="G44">
        <f t="shared" si="2"/>
        <v>-1.7943605810310525E-2</v>
      </c>
    </row>
    <row r="45" spans="1:7" ht="18" x14ac:dyDescent="0.2">
      <c r="A45" s="1">
        <v>46024</v>
      </c>
      <c r="B45" s="2">
        <v>121.84</v>
      </c>
      <c r="C45" s="2">
        <v>154.38999999999999</v>
      </c>
      <c r="D45" s="2">
        <v>68.959999999999994</v>
      </c>
      <c r="E45">
        <f t="shared" si="0"/>
        <v>-1.8877216021011139E-2</v>
      </c>
      <c r="F45">
        <f t="shared" si="1"/>
        <v>-2.2410777900122934E-2</v>
      </c>
      <c r="G45">
        <f t="shared" si="2"/>
        <v>2.9002320185615264E-3</v>
      </c>
    </row>
    <row r="46" spans="1:7" ht="18" x14ac:dyDescent="0.2">
      <c r="A46" s="1">
        <v>46022</v>
      </c>
      <c r="B46" s="2">
        <v>119.54</v>
      </c>
      <c r="C46" s="2">
        <v>150.93</v>
      </c>
      <c r="D46" s="2">
        <v>69.16</v>
      </c>
      <c r="E46">
        <f t="shared" si="0"/>
        <v>5.4375104567508069E-3</v>
      </c>
      <c r="F46">
        <f t="shared" si="1"/>
        <v>-6.6255880209364817E-4</v>
      </c>
      <c r="G46">
        <f t="shared" si="2"/>
        <v>8.3863504916136256E-3</v>
      </c>
    </row>
    <row r="47" spans="1:7" ht="18" x14ac:dyDescent="0.2">
      <c r="A47" s="1">
        <v>46021</v>
      </c>
      <c r="B47" s="2">
        <v>120.19</v>
      </c>
      <c r="C47" s="2">
        <v>150.83000000000001</v>
      </c>
      <c r="D47" s="2">
        <v>69.739999999999995</v>
      </c>
      <c r="E47">
        <f t="shared" si="0"/>
        <v>-3.8272734836508342E-3</v>
      </c>
      <c r="F47">
        <f t="shared" si="1"/>
        <v>-8.6189750049725598E-3</v>
      </c>
      <c r="G47">
        <f t="shared" si="2"/>
        <v>-1.8640665328361838E-3</v>
      </c>
    </row>
    <row r="48" spans="1:7" ht="18" x14ac:dyDescent="0.2">
      <c r="A48" s="1">
        <v>46020</v>
      </c>
      <c r="B48" s="2">
        <v>119.73</v>
      </c>
      <c r="C48" s="2">
        <v>149.53</v>
      </c>
      <c r="D48" s="2">
        <v>69.61</v>
      </c>
      <c r="E48">
        <f t="shared" si="0"/>
        <v>-1.1776497118516752E-2</v>
      </c>
      <c r="F48">
        <f t="shared" si="1"/>
        <v>-6.4201163646091615E-3</v>
      </c>
      <c r="G48">
        <f t="shared" si="2"/>
        <v>-1.6233299813245158E-2</v>
      </c>
    </row>
    <row r="49" spans="1:7" ht="18" x14ac:dyDescent="0.2">
      <c r="A49" s="1">
        <v>46017</v>
      </c>
      <c r="B49" s="2">
        <v>118.32</v>
      </c>
      <c r="C49" s="2">
        <v>148.57</v>
      </c>
      <c r="D49" s="2">
        <v>68.48</v>
      </c>
      <c r="E49">
        <f t="shared" si="0"/>
        <v>9.2968221771478742E-4</v>
      </c>
      <c r="F49">
        <f t="shared" si="1"/>
        <v>3.1634919566534219E-3</v>
      </c>
      <c r="G49">
        <f t="shared" si="2"/>
        <v>2.5116822429906524E-2</v>
      </c>
    </row>
    <row r="50" spans="1:7" ht="18" x14ac:dyDescent="0.2">
      <c r="A50" s="1">
        <v>46015</v>
      </c>
      <c r="B50" s="2">
        <v>118.43</v>
      </c>
      <c r="C50" s="2">
        <v>149.04</v>
      </c>
      <c r="D50" s="2">
        <v>70.2</v>
      </c>
      <c r="E50">
        <f t="shared" si="0"/>
        <v>1.6887612935910549E-3</v>
      </c>
      <c r="F50">
        <f t="shared" si="1"/>
        <v>6.7096081588964896E-5</v>
      </c>
      <c r="G50">
        <f t="shared" si="2"/>
        <v>1.4245014245013435E-3</v>
      </c>
    </row>
    <row r="51" spans="1:7" ht="18" x14ac:dyDescent="0.2">
      <c r="A51" s="1">
        <v>46014</v>
      </c>
      <c r="B51" s="2">
        <v>118.63</v>
      </c>
      <c r="C51" s="2">
        <v>149.05000000000001</v>
      </c>
      <c r="D51" s="2">
        <v>70.3</v>
      </c>
      <c r="E51">
        <f t="shared" si="0"/>
        <v>-1.0621259377897589E-2</v>
      </c>
      <c r="F51">
        <f t="shared" si="1"/>
        <v>-4.6964106004697553E-3</v>
      </c>
      <c r="G51">
        <f t="shared" si="2"/>
        <v>-8.1081081081080114E-3</v>
      </c>
    </row>
    <row r="52" spans="1:7" ht="18" x14ac:dyDescent="0.2">
      <c r="A52" s="1">
        <v>46013</v>
      </c>
      <c r="B52" s="2">
        <v>117.37</v>
      </c>
      <c r="C52" s="2">
        <v>148.35</v>
      </c>
      <c r="D52" s="2">
        <v>69.73</v>
      </c>
      <c r="E52">
        <f t="shared" si="0"/>
        <v>-1.2354093891113596E-2</v>
      </c>
      <c r="F52">
        <f t="shared" si="1"/>
        <v>-1.3683855746545339E-2</v>
      </c>
      <c r="G52">
        <f t="shared" si="2"/>
        <v>-2.4379750466083504E-2</v>
      </c>
    </row>
    <row r="53" spans="1:7" ht="18" x14ac:dyDescent="0.2">
      <c r="A53" s="1">
        <v>46010</v>
      </c>
      <c r="B53" s="2">
        <v>115.92</v>
      </c>
      <c r="C53" s="2">
        <v>146.32</v>
      </c>
      <c r="D53" s="2">
        <v>68.03</v>
      </c>
      <c r="E53">
        <f t="shared" si="0"/>
        <v>-1.2939958592132995E-3</v>
      </c>
      <c r="F53">
        <f t="shared" si="1"/>
        <v>-4.1006014215419815E-4</v>
      </c>
      <c r="G53">
        <f t="shared" si="2"/>
        <v>-1.2347493752756187E-2</v>
      </c>
    </row>
    <row r="54" spans="1:7" ht="18" x14ac:dyDescent="0.2">
      <c r="A54" s="1">
        <v>46009</v>
      </c>
      <c r="B54" s="2">
        <v>115.77</v>
      </c>
      <c r="C54" s="2">
        <v>146.26</v>
      </c>
      <c r="D54" s="2">
        <v>67.19</v>
      </c>
      <c r="E54">
        <f t="shared" si="0"/>
        <v>7.4285220696207951E-3</v>
      </c>
      <c r="F54">
        <f t="shared" si="1"/>
        <v>1.2375222207028596E-2</v>
      </c>
      <c r="G54">
        <f t="shared" si="2"/>
        <v>1.1757702038993992E-2</v>
      </c>
    </row>
    <row r="55" spans="1:7" ht="18" x14ac:dyDescent="0.2">
      <c r="A55" s="1">
        <v>46008</v>
      </c>
      <c r="B55" s="2">
        <v>116.63</v>
      </c>
      <c r="C55" s="2">
        <v>148.07</v>
      </c>
      <c r="D55" s="2">
        <v>67.98</v>
      </c>
      <c r="E55">
        <f t="shared" si="0"/>
        <v>-2.3235874131869963E-2</v>
      </c>
      <c r="F55">
        <f t="shared" si="1"/>
        <v>-1.8504761261565347E-2</v>
      </c>
      <c r="G55">
        <f t="shared" si="2"/>
        <v>-2.6625478081788792E-2</v>
      </c>
    </row>
    <row r="56" spans="1:7" ht="18" x14ac:dyDescent="0.2">
      <c r="A56" s="1">
        <v>46007</v>
      </c>
      <c r="B56" s="2">
        <v>113.92</v>
      </c>
      <c r="C56" s="2">
        <v>145.33000000000001</v>
      </c>
      <c r="D56" s="2">
        <v>66.17</v>
      </c>
      <c r="E56">
        <f t="shared" si="0"/>
        <v>2.6860955056179796E-2</v>
      </c>
      <c r="F56">
        <f t="shared" si="1"/>
        <v>2.0780293125989002E-2</v>
      </c>
      <c r="G56">
        <f t="shared" si="2"/>
        <v>2.5993652712709668E-2</v>
      </c>
    </row>
    <row r="57" spans="1:7" ht="18" x14ac:dyDescent="0.2">
      <c r="A57" s="1">
        <v>46006</v>
      </c>
      <c r="B57" s="2">
        <v>116.98</v>
      </c>
      <c r="C57" s="2">
        <v>148.35</v>
      </c>
      <c r="D57" s="2">
        <v>67.89</v>
      </c>
      <c r="E57">
        <f t="shared" si="0"/>
        <v>8.9758933150965725E-3</v>
      </c>
      <c r="F57">
        <f t="shared" si="1"/>
        <v>1.2807549713515182E-3</v>
      </c>
      <c r="G57">
        <f t="shared" si="2"/>
        <v>1.3551333038739162E-2</v>
      </c>
    </row>
    <row r="58" spans="1:7" ht="18" x14ac:dyDescent="0.2">
      <c r="A58" s="1">
        <v>46003</v>
      </c>
      <c r="B58" s="2">
        <v>118.03</v>
      </c>
      <c r="C58" s="2">
        <v>148.54</v>
      </c>
      <c r="D58" s="2">
        <v>68.81</v>
      </c>
      <c r="E58">
        <f t="shared" si="0"/>
        <v>6.1001440311785043E-3</v>
      </c>
      <c r="F58">
        <f t="shared" si="1"/>
        <v>4.847179210986932E-3</v>
      </c>
      <c r="G58">
        <f t="shared" si="2"/>
        <v>6.3944194157825561E-3</v>
      </c>
    </row>
    <row r="59" spans="1:7" ht="18" x14ac:dyDescent="0.2">
      <c r="A59" s="1">
        <v>46002</v>
      </c>
      <c r="B59" s="2">
        <v>118.75</v>
      </c>
      <c r="C59" s="2">
        <v>149.26</v>
      </c>
      <c r="D59" s="2">
        <v>69.25</v>
      </c>
      <c r="E59">
        <f t="shared" si="0"/>
        <v>0</v>
      </c>
      <c r="F59">
        <f t="shared" si="1"/>
        <v>4.5558086560364922E-3</v>
      </c>
      <c r="G59">
        <f t="shared" si="2"/>
        <v>1.8628158844765434E-2</v>
      </c>
    </row>
    <row r="60" spans="1:7" ht="18" x14ac:dyDescent="0.2">
      <c r="A60" s="1">
        <v>46001</v>
      </c>
      <c r="B60" s="2">
        <v>118.75</v>
      </c>
      <c r="C60" s="2">
        <v>149.94</v>
      </c>
      <c r="D60" s="2">
        <v>70.540000000000006</v>
      </c>
      <c r="E60">
        <f t="shared" si="0"/>
        <v>-1.0778947368421062E-2</v>
      </c>
      <c r="F60">
        <f t="shared" si="1"/>
        <v>-1.9274376417233469E-2</v>
      </c>
      <c r="G60">
        <f t="shared" si="2"/>
        <v>-9.6399206124185826E-3</v>
      </c>
    </row>
    <row r="61" spans="1:7" ht="18" x14ac:dyDescent="0.2">
      <c r="A61" s="1">
        <v>46000</v>
      </c>
      <c r="B61" s="2">
        <v>117.47</v>
      </c>
      <c r="C61" s="2">
        <v>147.05000000000001</v>
      </c>
      <c r="D61" s="2">
        <v>69.86</v>
      </c>
      <c r="E61">
        <f t="shared" si="0"/>
        <v>-1.9238954626713246E-2</v>
      </c>
      <c r="F61">
        <f t="shared" si="1"/>
        <v>1.4960897653859154E-3</v>
      </c>
      <c r="G61">
        <f t="shared" si="2"/>
        <v>9.018036072144223E-3</v>
      </c>
    </row>
    <row r="62" spans="1:7" ht="18" x14ac:dyDescent="0.2">
      <c r="A62" s="1">
        <v>45999</v>
      </c>
      <c r="B62" s="2">
        <v>115.21</v>
      </c>
      <c r="C62" s="2">
        <v>147.27000000000001</v>
      </c>
      <c r="D62" s="2">
        <v>70.489999999999995</v>
      </c>
      <c r="E62">
        <f t="shared" si="0"/>
        <v>4.8606891762868008E-3</v>
      </c>
      <c r="F62">
        <f t="shared" si="1"/>
        <v>8.691518978746527E-3</v>
      </c>
      <c r="G62">
        <f t="shared" si="2"/>
        <v>2.0286565470279572E-2</v>
      </c>
    </row>
    <row r="63" spans="1:7" ht="18" x14ac:dyDescent="0.2">
      <c r="A63" s="1">
        <v>45996</v>
      </c>
      <c r="B63" s="2">
        <v>115.77</v>
      </c>
      <c r="C63" s="2">
        <v>148.55000000000001</v>
      </c>
      <c r="D63" s="2">
        <v>71.92</v>
      </c>
      <c r="E63">
        <f t="shared" si="0"/>
        <v>5.0963116524142997E-3</v>
      </c>
      <c r="F63">
        <f t="shared" si="1"/>
        <v>1.5011780545270883E-2</v>
      </c>
      <c r="G63">
        <f t="shared" si="2"/>
        <v>-7.3692992213570787E-3</v>
      </c>
    </row>
    <row r="64" spans="1:7" ht="18" x14ac:dyDescent="0.2">
      <c r="A64" s="1">
        <v>45995</v>
      </c>
      <c r="B64" s="2">
        <v>116.36</v>
      </c>
      <c r="C64" s="2">
        <v>150.78</v>
      </c>
      <c r="D64" s="2">
        <v>71.39</v>
      </c>
      <c r="E64">
        <f t="shared" si="0"/>
        <v>5.6720522516328338E-3</v>
      </c>
      <c r="F64">
        <f t="shared" si="1"/>
        <v>-4.3772383605252463E-3</v>
      </c>
      <c r="G64">
        <f t="shared" si="2"/>
        <v>-1.0225521781762207E-2</v>
      </c>
    </row>
    <row r="65" spans="1:7" ht="18" x14ac:dyDescent="0.2">
      <c r="A65" s="1">
        <v>45994</v>
      </c>
      <c r="B65" s="2">
        <v>117.02</v>
      </c>
      <c r="C65" s="2">
        <v>150.12</v>
      </c>
      <c r="D65" s="2">
        <v>70.66</v>
      </c>
      <c r="E65">
        <f t="shared" si="0"/>
        <v>-2.0509314647068805E-2</v>
      </c>
      <c r="F65">
        <f t="shared" si="1"/>
        <v>-8.8595790034639785E-3</v>
      </c>
      <c r="G65">
        <f t="shared" si="2"/>
        <v>-6.5100481177468687E-3</v>
      </c>
    </row>
    <row r="66" spans="1:7" ht="18" x14ac:dyDescent="0.2">
      <c r="A66" s="1">
        <v>45993</v>
      </c>
      <c r="B66" s="2">
        <v>114.62</v>
      </c>
      <c r="C66" s="2">
        <v>148.79</v>
      </c>
      <c r="D66" s="2">
        <v>70.2</v>
      </c>
      <c r="E66">
        <f t="shared" si="0"/>
        <v>1.0818356307799641E-2</v>
      </c>
      <c r="F66">
        <f t="shared" si="1"/>
        <v>1.5256401639895225E-2</v>
      </c>
      <c r="G66">
        <f t="shared" si="2"/>
        <v>1.2250712250712241E-2</v>
      </c>
    </row>
    <row r="67" spans="1:7" ht="18" x14ac:dyDescent="0.2">
      <c r="A67" s="1">
        <v>45992</v>
      </c>
      <c r="B67" s="2">
        <v>115.86</v>
      </c>
      <c r="C67" s="2">
        <v>151.06</v>
      </c>
      <c r="D67" s="2">
        <v>71.06</v>
      </c>
      <c r="E67">
        <f t="shared" ref="E67:E130" si="3">(B68-B67)/B67</f>
        <v>-6.1280856205765044E-3</v>
      </c>
      <c r="F67">
        <f t="shared" ref="F67:F130" si="4">(C68-C67)/C67</f>
        <v>-9.2016417317623122E-3</v>
      </c>
      <c r="G67">
        <f t="shared" ref="G67:G130" si="5">(D68-D67)/D67</f>
        <v>1.4072614691796939E-4</v>
      </c>
    </row>
    <row r="68" spans="1:7" ht="18" x14ac:dyDescent="0.2">
      <c r="A68" s="1">
        <v>45989</v>
      </c>
      <c r="B68" s="2">
        <v>115.15</v>
      </c>
      <c r="C68" s="2">
        <v>149.66999999999999</v>
      </c>
      <c r="D68" s="2">
        <v>71.069999999999993</v>
      </c>
      <c r="E68">
        <f t="shared" si="3"/>
        <v>-9.9001302648719109E-3</v>
      </c>
      <c r="F68">
        <f t="shared" si="4"/>
        <v>-1.0756998730540425E-2</v>
      </c>
      <c r="G68">
        <f t="shared" si="5"/>
        <v>-1.4492753623188224E-2</v>
      </c>
    </row>
    <row r="69" spans="1:7" ht="18" x14ac:dyDescent="0.2">
      <c r="A69" s="1">
        <v>45987</v>
      </c>
      <c r="B69" s="2">
        <v>114.01</v>
      </c>
      <c r="C69" s="2">
        <v>148.06</v>
      </c>
      <c r="D69" s="2">
        <v>70.040000000000006</v>
      </c>
      <c r="E69">
        <f t="shared" si="3"/>
        <v>-2.2805017103763275E-3</v>
      </c>
      <c r="F69">
        <f t="shared" si="4"/>
        <v>-6.5513980818586986E-3</v>
      </c>
      <c r="G69">
        <f t="shared" si="5"/>
        <v>-1.1279268989149147E-2</v>
      </c>
    </row>
    <row r="70" spans="1:7" ht="18" x14ac:dyDescent="0.2">
      <c r="A70" s="1">
        <v>45986</v>
      </c>
      <c r="B70" s="2">
        <v>113.75</v>
      </c>
      <c r="C70" s="2">
        <v>147.09</v>
      </c>
      <c r="D70" s="2">
        <v>69.25</v>
      </c>
      <c r="E70">
        <f t="shared" si="3"/>
        <v>1.2747252747252772E-2</v>
      </c>
      <c r="F70">
        <f t="shared" si="4"/>
        <v>8.2262560337209058E-3</v>
      </c>
      <c r="G70">
        <f t="shared" si="5"/>
        <v>1.6895306859205799E-2</v>
      </c>
    </row>
    <row r="71" spans="1:7" ht="18" x14ac:dyDescent="0.2">
      <c r="A71" s="1">
        <v>45985</v>
      </c>
      <c r="B71" s="2">
        <v>115.2</v>
      </c>
      <c r="C71" s="2">
        <v>148.30000000000001</v>
      </c>
      <c r="D71" s="2">
        <v>70.42</v>
      </c>
      <c r="E71">
        <f t="shared" si="3"/>
        <v>9.5486111111110616E-3</v>
      </c>
      <c r="F71">
        <f t="shared" si="4"/>
        <v>1.5509103169250827E-3</v>
      </c>
      <c r="G71">
        <f t="shared" si="5"/>
        <v>-1.590457256461239E-2</v>
      </c>
    </row>
    <row r="72" spans="1:7" ht="18" x14ac:dyDescent="0.2">
      <c r="A72" s="1">
        <v>45982</v>
      </c>
      <c r="B72" s="2">
        <v>116.3</v>
      </c>
      <c r="C72" s="2">
        <v>148.53</v>
      </c>
      <c r="D72" s="2">
        <v>69.3</v>
      </c>
      <c r="E72">
        <f t="shared" si="3"/>
        <v>-4.2992261392946825E-4</v>
      </c>
      <c r="F72">
        <f t="shared" si="4"/>
        <v>2.1544469130814863E-3</v>
      </c>
      <c r="G72">
        <f t="shared" si="5"/>
        <v>1.2265512265512389E-2</v>
      </c>
    </row>
    <row r="73" spans="1:7" ht="18" x14ac:dyDescent="0.2">
      <c r="A73" s="1">
        <v>45981</v>
      </c>
      <c r="B73" s="2">
        <v>116.25</v>
      </c>
      <c r="C73" s="2">
        <v>148.85</v>
      </c>
      <c r="D73" s="2">
        <v>70.150000000000006</v>
      </c>
      <c r="E73">
        <f t="shared" si="3"/>
        <v>2.752688172042952E-3</v>
      </c>
      <c r="F73">
        <f t="shared" si="4"/>
        <v>9.2710782667114241E-3</v>
      </c>
      <c r="G73">
        <f t="shared" si="5"/>
        <v>1.040627227369907E-2</v>
      </c>
    </row>
    <row r="74" spans="1:7" ht="18" x14ac:dyDescent="0.2">
      <c r="A74" s="1">
        <v>45980</v>
      </c>
      <c r="B74" s="2">
        <v>116.57</v>
      </c>
      <c r="C74" s="2">
        <v>150.22999999999999</v>
      </c>
      <c r="D74" s="2">
        <v>70.88</v>
      </c>
      <c r="E74">
        <f t="shared" si="3"/>
        <v>1.4326155957793615E-2</v>
      </c>
      <c r="F74">
        <f t="shared" si="4"/>
        <v>1.2647274179591331E-2</v>
      </c>
      <c r="G74">
        <f t="shared" si="5"/>
        <v>2.2855530474040698E-2</v>
      </c>
    </row>
    <row r="75" spans="1:7" ht="18" x14ac:dyDescent="0.2">
      <c r="A75" s="1">
        <v>45979</v>
      </c>
      <c r="B75" s="2">
        <v>118.24</v>
      </c>
      <c r="C75" s="2">
        <v>152.13</v>
      </c>
      <c r="D75" s="2">
        <v>72.5</v>
      </c>
      <c r="E75">
        <f t="shared" si="3"/>
        <v>-1.1332882273342264E-2</v>
      </c>
      <c r="F75">
        <f t="shared" si="4"/>
        <v>-3.2866627226713994E-3</v>
      </c>
      <c r="G75">
        <f t="shared" si="5"/>
        <v>-1.6551724137931073E-2</v>
      </c>
    </row>
    <row r="76" spans="1:7" ht="18" x14ac:dyDescent="0.2">
      <c r="A76" s="1">
        <v>45978</v>
      </c>
      <c r="B76" s="2">
        <v>116.9</v>
      </c>
      <c r="C76" s="2">
        <v>151.63</v>
      </c>
      <c r="D76" s="2">
        <v>71.3</v>
      </c>
      <c r="E76">
        <f t="shared" si="3"/>
        <v>1.3686911890504656E-2</v>
      </c>
      <c r="F76">
        <f t="shared" si="4"/>
        <v>1.8070302710545466E-2</v>
      </c>
      <c r="G76">
        <f t="shared" si="5"/>
        <v>1.1220196353435947E-3</v>
      </c>
    </row>
    <row r="77" spans="1:7" ht="18" x14ac:dyDescent="0.2">
      <c r="A77" s="1">
        <v>45975</v>
      </c>
      <c r="B77" s="2">
        <v>118.5</v>
      </c>
      <c r="C77" s="2">
        <v>154.37</v>
      </c>
      <c r="D77" s="2">
        <v>71.38</v>
      </c>
      <c r="E77">
        <f t="shared" si="3"/>
        <v>-1.2827004219409249E-2</v>
      </c>
      <c r="F77">
        <f t="shared" si="4"/>
        <v>-1.2955885210857032E-2</v>
      </c>
      <c r="G77">
        <f t="shared" si="5"/>
        <v>-2.1434575511347732E-2</v>
      </c>
    </row>
    <row r="78" spans="1:7" ht="18" x14ac:dyDescent="0.2">
      <c r="A78" s="1">
        <v>45974</v>
      </c>
      <c r="B78" s="2">
        <v>116.98</v>
      </c>
      <c r="C78" s="2">
        <v>152.37</v>
      </c>
      <c r="D78" s="2">
        <v>69.849999999999994</v>
      </c>
      <c r="E78">
        <f t="shared" si="3"/>
        <v>-5.6419900837750966E-3</v>
      </c>
      <c r="F78">
        <f t="shared" si="4"/>
        <v>-1.4504167487038182E-2</v>
      </c>
      <c r="G78">
        <f t="shared" si="5"/>
        <v>-8.5898353614871962E-4</v>
      </c>
    </row>
    <row r="79" spans="1:7" ht="18" x14ac:dyDescent="0.2">
      <c r="A79" s="1">
        <v>45973</v>
      </c>
      <c r="B79" s="2">
        <v>116.32</v>
      </c>
      <c r="C79" s="2">
        <v>150.16</v>
      </c>
      <c r="D79" s="2">
        <v>69.790000000000006</v>
      </c>
      <c r="E79">
        <f t="shared" si="3"/>
        <v>1.4099037138927104E-2</v>
      </c>
      <c r="F79">
        <f t="shared" si="4"/>
        <v>1.9046350559403395E-2</v>
      </c>
      <c r="G79">
        <f t="shared" si="5"/>
        <v>4.1983092133543377E-2</v>
      </c>
    </row>
    <row r="80" spans="1:7" ht="18" x14ac:dyDescent="0.2">
      <c r="A80" s="1">
        <v>45972</v>
      </c>
      <c r="B80" s="2">
        <v>117.96</v>
      </c>
      <c r="C80" s="2">
        <v>153.02000000000001</v>
      </c>
      <c r="D80" s="2">
        <v>72.72</v>
      </c>
      <c r="E80">
        <f t="shared" si="3"/>
        <v>-1.3055272973889387E-2</v>
      </c>
      <c r="F80">
        <f t="shared" si="4"/>
        <v>-3.7903542020651711E-3</v>
      </c>
      <c r="G80">
        <f t="shared" si="5"/>
        <v>-1.4301430143014193E-2</v>
      </c>
    </row>
    <row r="81" spans="1:7" ht="18" x14ac:dyDescent="0.2">
      <c r="A81" s="1">
        <v>45971</v>
      </c>
      <c r="B81" s="2">
        <v>116.42</v>
      </c>
      <c r="C81" s="2">
        <v>152.44</v>
      </c>
      <c r="D81" s="2">
        <v>71.680000000000007</v>
      </c>
      <c r="E81">
        <f t="shared" si="3"/>
        <v>-8.5036935234495351E-3</v>
      </c>
      <c r="F81">
        <f t="shared" si="4"/>
        <v>-4.0671739700866216E-3</v>
      </c>
      <c r="G81">
        <f t="shared" si="5"/>
        <v>-5.8593750000000234E-3</v>
      </c>
    </row>
    <row r="82" spans="1:7" ht="18" x14ac:dyDescent="0.2">
      <c r="A82" s="1">
        <v>45968</v>
      </c>
      <c r="B82" s="2">
        <v>115.43</v>
      </c>
      <c r="C82" s="2">
        <v>151.82</v>
      </c>
      <c r="D82" s="2">
        <v>71.260000000000005</v>
      </c>
      <c r="E82">
        <f t="shared" si="3"/>
        <v>-2.3130901845274207E-2</v>
      </c>
      <c r="F82">
        <f t="shared" si="4"/>
        <v>-1.3371097352127527E-2</v>
      </c>
      <c r="G82">
        <f t="shared" si="5"/>
        <v>-5.3325849003649966E-3</v>
      </c>
    </row>
    <row r="83" spans="1:7" ht="18" x14ac:dyDescent="0.2">
      <c r="A83" s="1">
        <v>45967</v>
      </c>
      <c r="B83" s="2">
        <v>112.76</v>
      </c>
      <c r="C83" s="2">
        <v>149.79</v>
      </c>
      <c r="D83" s="2">
        <v>70.88</v>
      </c>
      <c r="E83">
        <f t="shared" si="3"/>
        <v>-7.1833983682156989E-3</v>
      </c>
      <c r="F83">
        <f t="shared" si="4"/>
        <v>-1.8692836637959887E-3</v>
      </c>
      <c r="G83">
        <f t="shared" si="5"/>
        <v>2.1162528216705093E-3</v>
      </c>
    </row>
    <row r="84" spans="1:7" ht="18" x14ac:dyDescent="0.2">
      <c r="A84" s="1">
        <v>45966</v>
      </c>
      <c r="B84" s="2">
        <v>111.95</v>
      </c>
      <c r="C84" s="2">
        <v>149.51</v>
      </c>
      <c r="D84" s="2">
        <v>71.03</v>
      </c>
      <c r="E84">
        <f t="shared" si="3"/>
        <v>4.0196516301920756E-3</v>
      </c>
      <c r="F84">
        <f t="shared" si="4"/>
        <v>4.8157313892047285E-3</v>
      </c>
      <c r="G84">
        <f t="shared" si="5"/>
        <v>1.2670702520062025E-2</v>
      </c>
    </row>
    <row r="85" spans="1:7" ht="18" x14ac:dyDescent="0.2">
      <c r="A85" s="1">
        <v>45965</v>
      </c>
      <c r="B85" s="2">
        <v>112.4</v>
      </c>
      <c r="C85" s="2">
        <v>150.22999999999999</v>
      </c>
      <c r="D85" s="2">
        <v>71.930000000000007</v>
      </c>
      <c r="E85">
        <f t="shared" si="3"/>
        <v>-3.2918149466192575E-3</v>
      </c>
      <c r="F85">
        <f t="shared" si="4"/>
        <v>4.1935698595488508E-3</v>
      </c>
      <c r="G85">
        <f t="shared" si="5"/>
        <v>1.1260948144028751E-2</v>
      </c>
    </row>
    <row r="86" spans="1:7" ht="18" x14ac:dyDescent="0.2">
      <c r="A86" s="1">
        <v>45964</v>
      </c>
      <c r="B86" s="2">
        <v>112.03</v>
      </c>
      <c r="C86" s="2">
        <v>150.86000000000001</v>
      </c>
      <c r="D86" s="2">
        <v>72.739999999999995</v>
      </c>
      <c r="E86">
        <f t="shared" si="3"/>
        <v>5.2664464875480082E-3</v>
      </c>
      <c r="F86">
        <f t="shared" si="4"/>
        <v>2.3929471032745491E-2</v>
      </c>
      <c r="G86">
        <f t="shared" si="5"/>
        <v>-2.4745669507835115E-3</v>
      </c>
    </row>
    <row r="87" spans="1:7" ht="18" x14ac:dyDescent="0.2">
      <c r="A87" s="1">
        <v>45961</v>
      </c>
      <c r="B87" s="2">
        <v>112.62</v>
      </c>
      <c r="C87" s="2">
        <v>154.47</v>
      </c>
      <c r="D87" s="2">
        <v>72.56</v>
      </c>
      <c r="E87">
        <f t="shared" si="3"/>
        <v>2.8414136032675649E-3</v>
      </c>
      <c r="F87">
        <f t="shared" si="4"/>
        <v>-2.667184566582511E-2</v>
      </c>
      <c r="G87">
        <f t="shared" si="5"/>
        <v>-1.1714443219404748E-2</v>
      </c>
    </row>
    <row r="88" spans="1:7" ht="18" x14ac:dyDescent="0.2">
      <c r="A88" s="1">
        <v>45960</v>
      </c>
      <c r="B88" s="2">
        <v>112.94</v>
      </c>
      <c r="C88" s="2">
        <v>150.35</v>
      </c>
      <c r="D88" s="2">
        <v>71.709999999999994</v>
      </c>
      <c r="E88">
        <f t="shared" si="3"/>
        <v>1.5406410483442616E-2</v>
      </c>
      <c r="F88">
        <f t="shared" si="4"/>
        <v>1.030927835051554E-2</v>
      </c>
      <c r="G88">
        <f t="shared" si="5"/>
        <v>1.2550550829731337E-3</v>
      </c>
    </row>
    <row r="89" spans="1:7" ht="18" x14ac:dyDescent="0.2">
      <c r="A89" s="1">
        <v>45959</v>
      </c>
      <c r="B89" s="2">
        <v>114.68</v>
      </c>
      <c r="C89" s="2">
        <v>151.9</v>
      </c>
      <c r="D89" s="2">
        <v>71.8</v>
      </c>
      <c r="E89">
        <f t="shared" si="3"/>
        <v>-1.2207882804325127E-2</v>
      </c>
      <c r="F89">
        <f t="shared" si="4"/>
        <v>-6.2541145490455363E-3</v>
      </c>
      <c r="G89">
        <f t="shared" si="5"/>
        <v>-5.7103064066851899E-3</v>
      </c>
    </row>
    <row r="90" spans="1:7" ht="18" x14ac:dyDescent="0.2">
      <c r="A90" s="1">
        <v>45958</v>
      </c>
      <c r="B90" s="2">
        <v>113.28</v>
      </c>
      <c r="C90" s="2">
        <v>150.94999999999999</v>
      </c>
      <c r="D90" s="2">
        <v>71.39</v>
      </c>
      <c r="E90">
        <f t="shared" si="3"/>
        <v>7.8566384180791017E-3</v>
      </c>
      <c r="F90">
        <f t="shared" si="4"/>
        <v>7.4859224908911826E-3</v>
      </c>
      <c r="G90">
        <f t="shared" si="5"/>
        <v>2.4233085866367896E-2</v>
      </c>
    </row>
    <row r="91" spans="1:7" ht="18" x14ac:dyDescent="0.2">
      <c r="A91" s="1">
        <v>45957</v>
      </c>
      <c r="B91" s="2">
        <v>114.17</v>
      </c>
      <c r="C91" s="2">
        <v>152.08000000000001</v>
      </c>
      <c r="D91" s="2">
        <v>73.12</v>
      </c>
      <c r="E91">
        <f t="shared" si="3"/>
        <v>-4.7297889112727183E-3</v>
      </c>
      <c r="F91">
        <f t="shared" si="4"/>
        <v>1.7753813782218687E-3</v>
      </c>
      <c r="G91">
        <f t="shared" si="5"/>
        <v>8.2056892778996544E-4</v>
      </c>
    </row>
    <row r="92" spans="1:7" ht="18" x14ac:dyDescent="0.2">
      <c r="A92" s="1">
        <v>45954</v>
      </c>
      <c r="B92" s="2">
        <v>113.63</v>
      </c>
      <c r="C92" s="2">
        <v>152.35</v>
      </c>
      <c r="D92" s="2">
        <v>73.180000000000007</v>
      </c>
      <c r="E92">
        <f t="shared" si="3"/>
        <v>5.1042858400070258E-3</v>
      </c>
      <c r="F92">
        <f t="shared" si="4"/>
        <v>6.4325566130621478E-3</v>
      </c>
      <c r="G92">
        <f t="shared" si="5"/>
        <v>1.5031429352281966E-3</v>
      </c>
    </row>
    <row r="93" spans="1:7" ht="18" x14ac:dyDescent="0.2">
      <c r="A93" s="1">
        <v>45953</v>
      </c>
      <c r="B93" s="2">
        <v>114.21</v>
      </c>
      <c r="C93" s="2">
        <v>153.33000000000001</v>
      </c>
      <c r="D93" s="2">
        <v>73.290000000000006</v>
      </c>
      <c r="E93">
        <f t="shared" si="3"/>
        <v>-1.0944750897469574E-2</v>
      </c>
      <c r="F93">
        <f t="shared" si="4"/>
        <v>-6.3262244831409301E-3</v>
      </c>
      <c r="G93">
        <f t="shared" si="5"/>
        <v>-3.6294173829990596E-2</v>
      </c>
    </row>
    <row r="94" spans="1:7" ht="18" x14ac:dyDescent="0.2">
      <c r="A94" s="1">
        <v>45952</v>
      </c>
      <c r="B94" s="2">
        <v>112.96</v>
      </c>
      <c r="C94" s="2">
        <v>152.36000000000001</v>
      </c>
      <c r="D94" s="2">
        <v>70.63</v>
      </c>
      <c r="E94">
        <f t="shared" si="3"/>
        <v>-1.7439801699716706E-2</v>
      </c>
      <c r="F94">
        <f t="shared" si="4"/>
        <v>-1.1420320294040489E-2</v>
      </c>
      <c r="G94">
        <f t="shared" si="5"/>
        <v>-3.3413563641512101E-2</v>
      </c>
    </row>
    <row r="95" spans="1:7" ht="18" x14ac:dyDescent="0.2">
      <c r="A95" s="1">
        <v>45951</v>
      </c>
      <c r="B95" s="2">
        <v>110.99</v>
      </c>
      <c r="C95" s="2">
        <v>150.62</v>
      </c>
      <c r="D95" s="2">
        <v>68.27</v>
      </c>
      <c r="E95">
        <f t="shared" si="3"/>
        <v>-9.0098207045597847E-5</v>
      </c>
      <c r="F95">
        <f t="shared" si="4"/>
        <v>4.4482804408444258E-3</v>
      </c>
      <c r="G95">
        <f t="shared" si="5"/>
        <v>-6.4449978028416248E-3</v>
      </c>
    </row>
    <row r="96" spans="1:7" ht="18" x14ac:dyDescent="0.2">
      <c r="A96" s="1">
        <v>45950</v>
      </c>
      <c r="B96" s="2">
        <v>110.98</v>
      </c>
      <c r="C96" s="2">
        <v>151.29</v>
      </c>
      <c r="D96" s="2">
        <v>67.83</v>
      </c>
      <c r="E96">
        <f t="shared" si="3"/>
        <v>-4.054784645882166E-3</v>
      </c>
      <c r="F96">
        <f t="shared" si="4"/>
        <v>-9.05545640822265E-3</v>
      </c>
      <c r="G96">
        <f t="shared" si="5"/>
        <v>2.2114108801416141E-3</v>
      </c>
    </row>
    <row r="97" spans="1:7" ht="18" x14ac:dyDescent="0.2">
      <c r="A97" s="1">
        <v>45947</v>
      </c>
      <c r="B97" s="2">
        <v>110.53</v>
      </c>
      <c r="C97" s="2">
        <v>149.91999999999999</v>
      </c>
      <c r="D97" s="2">
        <v>67.98</v>
      </c>
      <c r="E97">
        <f t="shared" si="3"/>
        <v>-1.4294761603184641E-2</v>
      </c>
      <c r="F97">
        <f t="shared" si="4"/>
        <v>-8.9381003201705923E-3</v>
      </c>
      <c r="G97">
        <f t="shared" si="5"/>
        <v>-2.5007355104442732E-3</v>
      </c>
    </row>
    <row r="98" spans="1:7" ht="18" x14ac:dyDescent="0.2">
      <c r="A98" s="1">
        <v>45946</v>
      </c>
      <c r="B98" s="2">
        <v>108.95</v>
      </c>
      <c r="C98" s="2">
        <v>148.58000000000001</v>
      </c>
      <c r="D98" s="2">
        <v>67.81</v>
      </c>
      <c r="E98">
        <f t="shared" si="3"/>
        <v>8.811381367599758E-3</v>
      </c>
      <c r="F98">
        <f t="shared" si="4"/>
        <v>2.624848566428768E-3</v>
      </c>
      <c r="G98">
        <f t="shared" si="5"/>
        <v>1.7401563191269613E-2</v>
      </c>
    </row>
    <row r="99" spans="1:7" ht="18" x14ac:dyDescent="0.2">
      <c r="A99" s="1">
        <v>45945</v>
      </c>
      <c r="B99" s="2">
        <v>109.91</v>
      </c>
      <c r="C99" s="2">
        <v>148.97</v>
      </c>
      <c r="D99" s="2">
        <v>68.989999999999995</v>
      </c>
      <c r="E99">
        <f t="shared" si="3"/>
        <v>6.0958966427076856E-3</v>
      </c>
      <c r="F99">
        <f t="shared" si="4"/>
        <v>1.8795730684030417E-3</v>
      </c>
      <c r="G99">
        <f t="shared" si="5"/>
        <v>1.4494854326721433E-4</v>
      </c>
    </row>
    <row r="100" spans="1:7" ht="18" x14ac:dyDescent="0.2">
      <c r="A100" s="1">
        <v>45944</v>
      </c>
      <c r="B100" s="2">
        <v>110.58</v>
      </c>
      <c r="C100" s="2">
        <v>149.25</v>
      </c>
      <c r="D100" s="2">
        <v>69</v>
      </c>
      <c r="E100">
        <f t="shared" si="3"/>
        <v>-4.5216133116293325E-4</v>
      </c>
      <c r="F100">
        <f t="shared" si="4"/>
        <v>-2.948073701842531E-3</v>
      </c>
      <c r="G100">
        <f t="shared" si="5"/>
        <v>1.8550724637681176E-2</v>
      </c>
    </row>
    <row r="101" spans="1:7" ht="18" x14ac:dyDescent="0.2">
      <c r="A101" s="1">
        <v>45943</v>
      </c>
      <c r="B101" s="2">
        <v>110.53</v>
      </c>
      <c r="C101" s="2">
        <v>148.81</v>
      </c>
      <c r="D101" s="2">
        <v>70.28</v>
      </c>
      <c r="E101">
        <f t="shared" si="3"/>
        <v>-1.3480503030851305E-2</v>
      </c>
      <c r="F101">
        <f t="shared" si="4"/>
        <v>-2.0025535918284994E-2</v>
      </c>
      <c r="G101">
        <f t="shared" si="5"/>
        <v>-1.2663631189527612E-2</v>
      </c>
    </row>
    <row r="102" spans="1:7" ht="18" x14ac:dyDescent="0.2">
      <c r="A102" s="1">
        <v>45940</v>
      </c>
      <c r="B102" s="2">
        <v>109.04</v>
      </c>
      <c r="C102" s="2">
        <v>145.83000000000001</v>
      </c>
      <c r="D102" s="2">
        <v>69.39</v>
      </c>
      <c r="E102">
        <f t="shared" si="3"/>
        <v>1.9717534849596399E-2</v>
      </c>
      <c r="F102">
        <f t="shared" si="4"/>
        <v>1.8377562915723639E-2</v>
      </c>
      <c r="G102">
        <f t="shared" si="5"/>
        <v>4.4963251188932185E-2</v>
      </c>
    </row>
    <row r="103" spans="1:7" ht="18" x14ac:dyDescent="0.2">
      <c r="A103" s="1">
        <v>45939</v>
      </c>
      <c r="B103" s="2">
        <v>111.19</v>
      </c>
      <c r="C103" s="2">
        <v>148.51</v>
      </c>
      <c r="D103" s="2">
        <v>72.510000000000005</v>
      </c>
      <c r="E103">
        <f t="shared" si="3"/>
        <v>9.8030398417124145E-3</v>
      </c>
      <c r="F103">
        <f t="shared" si="4"/>
        <v>1.3871119789913153E-2</v>
      </c>
      <c r="G103">
        <f t="shared" si="5"/>
        <v>1.4067025237898165E-2</v>
      </c>
    </row>
    <row r="104" spans="1:7" ht="18" x14ac:dyDescent="0.2">
      <c r="A104" s="1">
        <v>45938</v>
      </c>
      <c r="B104" s="2">
        <v>112.28</v>
      </c>
      <c r="C104" s="2">
        <v>150.57</v>
      </c>
      <c r="D104" s="2">
        <v>73.53</v>
      </c>
      <c r="E104">
        <f t="shared" si="3"/>
        <v>2.137513359458451E-3</v>
      </c>
      <c r="F104">
        <f t="shared" si="4"/>
        <v>7.5712293285516031E-3</v>
      </c>
      <c r="G104">
        <f t="shared" si="5"/>
        <v>-4.4879640962872062E-3</v>
      </c>
    </row>
    <row r="105" spans="1:7" ht="18" x14ac:dyDescent="0.2">
      <c r="A105" s="1">
        <v>45937</v>
      </c>
      <c r="B105" s="2">
        <v>112.52</v>
      </c>
      <c r="C105" s="2">
        <v>151.71</v>
      </c>
      <c r="D105" s="2">
        <v>73.2</v>
      </c>
      <c r="E105">
        <f t="shared" si="3"/>
        <v>-5.3323853537150972E-4</v>
      </c>
      <c r="F105">
        <f t="shared" si="4"/>
        <v>-5.7346252719003661E-3</v>
      </c>
      <c r="G105">
        <f t="shared" si="5"/>
        <v>-4.5081967213114523E-3</v>
      </c>
    </row>
    <row r="106" spans="1:7" ht="18" x14ac:dyDescent="0.2">
      <c r="A106" s="1">
        <v>45936</v>
      </c>
      <c r="B106" s="2">
        <v>112.46</v>
      </c>
      <c r="C106" s="2">
        <v>150.84</v>
      </c>
      <c r="D106" s="2">
        <v>72.87</v>
      </c>
      <c r="E106">
        <f t="shared" si="3"/>
        <v>-8.2696069713675321E-3</v>
      </c>
      <c r="F106">
        <f t="shared" si="4"/>
        <v>-3.0495889684434363E-3</v>
      </c>
      <c r="G106">
        <f t="shared" si="5"/>
        <v>-1.5918759434609724E-2</v>
      </c>
    </row>
    <row r="107" spans="1:7" ht="18" x14ac:dyDescent="0.2">
      <c r="A107" s="1">
        <v>45933</v>
      </c>
      <c r="B107" s="2">
        <v>111.53</v>
      </c>
      <c r="C107" s="2">
        <v>150.38</v>
      </c>
      <c r="D107" s="2">
        <v>71.709999999999994</v>
      </c>
      <c r="E107">
        <f t="shared" si="3"/>
        <v>-1.7394423025194995E-2</v>
      </c>
      <c r="F107">
        <f t="shared" si="4"/>
        <v>-1.1304694773240291E-3</v>
      </c>
      <c r="G107">
        <f t="shared" si="5"/>
        <v>-2.3706596011712107E-3</v>
      </c>
    </row>
    <row r="108" spans="1:7" ht="18" x14ac:dyDescent="0.2">
      <c r="A108" s="1">
        <v>45932</v>
      </c>
      <c r="B108" s="2">
        <v>109.59</v>
      </c>
      <c r="C108" s="2">
        <v>150.21</v>
      </c>
      <c r="D108" s="2">
        <v>71.540000000000006</v>
      </c>
      <c r="E108">
        <f t="shared" si="3"/>
        <v>6.2961949082945314E-3</v>
      </c>
      <c r="F108">
        <f t="shared" si="4"/>
        <v>7.8556687304439012E-3</v>
      </c>
      <c r="G108">
        <f t="shared" si="5"/>
        <v>2.2365110427732655E-2</v>
      </c>
    </row>
    <row r="109" spans="1:7" ht="18" x14ac:dyDescent="0.2">
      <c r="A109" s="1">
        <v>45931</v>
      </c>
      <c r="B109" s="2">
        <v>110.28</v>
      </c>
      <c r="C109" s="2">
        <v>151.38999999999999</v>
      </c>
      <c r="D109" s="2">
        <v>73.14</v>
      </c>
      <c r="E109">
        <f t="shared" si="3"/>
        <v>6.8008705114254624E-3</v>
      </c>
      <c r="F109">
        <f t="shared" si="4"/>
        <v>4.6238192747210327E-3</v>
      </c>
      <c r="G109">
        <f t="shared" si="5"/>
        <v>8.3401695378725656E-3</v>
      </c>
    </row>
    <row r="110" spans="1:7" ht="18" x14ac:dyDescent="0.2">
      <c r="A110" s="1">
        <v>45930</v>
      </c>
      <c r="B110" s="2">
        <v>111.03</v>
      </c>
      <c r="C110" s="2">
        <v>152.09</v>
      </c>
      <c r="D110" s="2">
        <v>73.75</v>
      </c>
      <c r="E110">
        <f t="shared" si="3"/>
        <v>1.3059533459425406E-2</v>
      </c>
      <c r="F110">
        <f t="shared" si="4"/>
        <v>5.194292852915984E-3</v>
      </c>
      <c r="G110">
        <f t="shared" si="5"/>
        <v>1.1389830508474622E-2</v>
      </c>
    </row>
    <row r="111" spans="1:7" ht="18" x14ac:dyDescent="0.2">
      <c r="A111" s="1">
        <v>45929</v>
      </c>
      <c r="B111" s="2">
        <v>112.48</v>
      </c>
      <c r="C111" s="2">
        <v>152.88</v>
      </c>
      <c r="D111" s="2">
        <v>74.59</v>
      </c>
      <c r="E111">
        <f t="shared" si="3"/>
        <v>2.6226884779516384E-2</v>
      </c>
      <c r="F111">
        <f t="shared" si="4"/>
        <v>2.6033490319204725E-2</v>
      </c>
      <c r="G111">
        <f t="shared" si="5"/>
        <v>3.2578093578227545E-2</v>
      </c>
    </row>
    <row r="112" spans="1:7" ht="18" x14ac:dyDescent="0.2">
      <c r="A112" s="1">
        <v>45926</v>
      </c>
      <c r="B112" s="2">
        <v>115.43</v>
      </c>
      <c r="C112" s="2">
        <v>156.86000000000001</v>
      </c>
      <c r="D112" s="2">
        <v>77.02</v>
      </c>
      <c r="E112">
        <f t="shared" si="3"/>
        <v>-1.3861214588928427E-2</v>
      </c>
      <c r="F112">
        <f t="shared" si="4"/>
        <v>3.5063113604486989E-3</v>
      </c>
      <c r="G112">
        <f t="shared" si="5"/>
        <v>-3.8950921838484988E-4</v>
      </c>
    </row>
    <row r="113" spans="1:7" ht="18" x14ac:dyDescent="0.2">
      <c r="A113" s="1">
        <v>45925</v>
      </c>
      <c r="B113" s="2">
        <v>113.83</v>
      </c>
      <c r="C113" s="2">
        <v>157.41</v>
      </c>
      <c r="D113" s="2">
        <v>76.989999999999995</v>
      </c>
      <c r="E113">
        <f t="shared" si="3"/>
        <v>-8.96073091452162E-3</v>
      </c>
      <c r="F113">
        <f t="shared" si="4"/>
        <v>-9.5927831776887809E-3</v>
      </c>
      <c r="G113">
        <f t="shared" si="5"/>
        <v>-7.7932198986880681E-3</v>
      </c>
    </row>
    <row r="114" spans="1:7" ht="18" x14ac:dyDescent="0.2">
      <c r="A114" s="1">
        <v>45924</v>
      </c>
      <c r="B114" s="2">
        <v>112.81</v>
      </c>
      <c r="C114" s="2">
        <v>155.9</v>
      </c>
      <c r="D114" s="2">
        <v>76.39</v>
      </c>
      <c r="E114">
        <f t="shared" si="3"/>
        <v>-5.3186774222144179E-3</v>
      </c>
      <c r="F114">
        <f t="shared" si="4"/>
        <v>-1.1096856959589597E-2</v>
      </c>
      <c r="G114">
        <f t="shared" si="5"/>
        <v>-1.7541563031810491E-2</v>
      </c>
    </row>
    <row r="115" spans="1:7" ht="18" x14ac:dyDescent="0.2">
      <c r="A115" s="1">
        <v>45923</v>
      </c>
      <c r="B115" s="2">
        <v>112.21</v>
      </c>
      <c r="C115" s="2">
        <v>154.16999999999999</v>
      </c>
      <c r="D115" s="2">
        <v>75.05</v>
      </c>
      <c r="E115">
        <f t="shared" si="3"/>
        <v>-1.6932537207022473E-2</v>
      </c>
      <c r="F115">
        <f t="shared" si="4"/>
        <v>-8.6917039631573927E-3</v>
      </c>
      <c r="G115">
        <f t="shared" si="5"/>
        <v>-2.131912058627574E-2</v>
      </c>
    </row>
    <row r="116" spans="1:7" ht="18" x14ac:dyDescent="0.2">
      <c r="A116" s="1">
        <v>45922</v>
      </c>
      <c r="B116" s="2">
        <v>110.31</v>
      </c>
      <c r="C116" s="2">
        <v>152.83000000000001</v>
      </c>
      <c r="D116" s="2">
        <v>73.45</v>
      </c>
      <c r="E116">
        <f t="shared" si="3"/>
        <v>7.1616353911702658E-3</v>
      </c>
      <c r="F116">
        <f t="shared" si="4"/>
        <v>1.0469148727343884E-3</v>
      </c>
      <c r="G116">
        <f t="shared" si="5"/>
        <v>9.5302927161324946E-4</v>
      </c>
    </row>
    <row r="117" spans="1:7" ht="18" x14ac:dyDescent="0.2">
      <c r="A117" s="1">
        <v>45919</v>
      </c>
      <c r="B117" s="2">
        <v>111.1</v>
      </c>
      <c r="C117" s="2">
        <v>152.99</v>
      </c>
      <c r="D117" s="2">
        <v>73.52</v>
      </c>
      <c r="E117">
        <f t="shared" si="3"/>
        <v>9.810981098109843E-3</v>
      </c>
      <c r="F117">
        <f t="shared" si="4"/>
        <v>1.6798483561017014E-2</v>
      </c>
      <c r="G117">
        <f t="shared" si="5"/>
        <v>1.5914036996735607E-2</v>
      </c>
    </row>
    <row r="118" spans="1:7" ht="18" x14ac:dyDescent="0.2">
      <c r="A118" s="1">
        <v>45918</v>
      </c>
      <c r="B118" s="2">
        <v>112.19</v>
      </c>
      <c r="C118" s="2">
        <v>155.56</v>
      </c>
      <c r="D118" s="2">
        <v>74.69</v>
      </c>
      <c r="E118">
        <f t="shared" si="3"/>
        <v>1.1944023531509078E-2</v>
      </c>
      <c r="F118">
        <f t="shared" si="4"/>
        <v>7.9069169452300712E-3</v>
      </c>
      <c r="G118">
        <f t="shared" si="5"/>
        <v>3.7488284910965476E-3</v>
      </c>
    </row>
    <row r="119" spans="1:7" ht="18" x14ac:dyDescent="0.2">
      <c r="A119" s="1">
        <v>45917</v>
      </c>
      <c r="B119" s="2">
        <v>113.53</v>
      </c>
      <c r="C119" s="2">
        <v>156.79</v>
      </c>
      <c r="D119" s="2">
        <v>74.97</v>
      </c>
      <c r="E119">
        <f t="shared" si="3"/>
        <v>-5.2849467101206225E-3</v>
      </c>
      <c r="F119">
        <f t="shared" si="4"/>
        <v>-3.444097200076485E-3</v>
      </c>
      <c r="G119">
        <f t="shared" si="5"/>
        <v>9.3370681605976103E-3</v>
      </c>
    </row>
    <row r="120" spans="1:7" ht="18" x14ac:dyDescent="0.2">
      <c r="A120" s="1">
        <v>45916</v>
      </c>
      <c r="B120" s="2">
        <v>112.93</v>
      </c>
      <c r="C120" s="2">
        <v>156.25</v>
      </c>
      <c r="D120" s="2">
        <v>75.67</v>
      </c>
      <c r="E120">
        <f t="shared" si="3"/>
        <v>-2.0278048348534545E-2</v>
      </c>
      <c r="F120">
        <f t="shared" si="4"/>
        <v>-1.3952000000000044E-2</v>
      </c>
      <c r="G120">
        <f t="shared" si="5"/>
        <v>-1.9029998678472285E-2</v>
      </c>
    </row>
    <row r="121" spans="1:7" ht="18" x14ac:dyDescent="0.2">
      <c r="A121" s="1">
        <v>45915</v>
      </c>
      <c r="B121" s="2">
        <v>110.64</v>
      </c>
      <c r="C121" s="2">
        <v>154.07</v>
      </c>
      <c r="D121" s="2">
        <v>74.23</v>
      </c>
      <c r="E121">
        <f t="shared" si="3"/>
        <v>-1.7172812725957858E-3</v>
      </c>
      <c r="F121">
        <f t="shared" si="4"/>
        <v>-1.2981112481338913E-3</v>
      </c>
      <c r="G121">
        <f t="shared" si="5"/>
        <v>-1.2393910817728703E-2</v>
      </c>
    </row>
    <row r="122" spans="1:7" ht="18" x14ac:dyDescent="0.2">
      <c r="A122" s="1">
        <v>45912</v>
      </c>
      <c r="B122" s="2">
        <v>110.45</v>
      </c>
      <c r="C122" s="2">
        <v>153.87</v>
      </c>
      <c r="D122" s="2">
        <v>73.31</v>
      </c>
      <c r="E122">
        <f t="shared" si="3"/>
        <v>-1.810774105929925E-4</v>
      </c>
      <c r="F122">
        <f t="shared" si="4"/>
        <v>7.2788717748749239E-3</v>
      </c>
      <c r="G122">
        <f t="shared" si="5"/>
        <v>-4.2286181966989808E-3</v>
      </c>
    </row>
    <row r="123" spans="1:7" ht="18" x14ac:dyDescent="0.2">
      <c r="A123" s="1">
        <v>45911</v>
      </c>
      <c r="B123" s="2">
        <v>110.43</v>
      </c>
      <c r="C123" s="2">
        <v>154.99</v>
      </c>
      <c r="D123" s="2">
        <v>73</v>
      </c>
      <c r="E123">
        <f t="shared" si="3"/>
        <v>3.2599837000814942E-3</v>
      </c>
      <c r="F123">
        <f t="shared" si="4"/>
        <v>-2.9034131234274277E-3</v>
      </c>
      <c r="G123">
        <f t="shared" si="5"/>
        <v>2.3424657534246489E-2</v>
      </c>
    </row>
    <row r="124" spans="1:7" ht="18" x14ac:dyDescent="0.2">
      <c r="A124" s="1">
        <v>45910</v>
      </c>
      <c r="B124" s="2">
        <v>110.79</v>
      </c>
      <c r="C124" s="2">
        <v>154.54</v>
      </c>
      <c r="D124" s="2">
        <v>74.709999999999994</v>
      </c>
      <c r="E124">
        <f t="shared" si="3"/>
        <v>-1.6517736257785111E-2</v>
      </c>
      <c r="F124">
        <f t="shared" si="4"/>
        <v>-1.8635951857124342E-2</v>
      </c>
      <c r="G124">
        <f t="shared" si="5"/>
        <v>-1.7668317494311248E-2</v>
      </c>
    </row>
    <row r="125" spans="1:7" ht="18" x14ac:dyDescent="0.2">
      <c r="A125" s="1">
        <v>45909</v>
      </c>
      <c r="B125" s="2">
        <v>108.96</v>
      </c>
      <c r="C125" s="2">
        <v>151.66</v>
      </c>
      <c r="D125" s="2">
        <v>73.39</v>
      </c>
      <c r="E125">
        <f t="shared" si="3"/>
        <v>-7.1585903083699245E-3</v>
      </c>
      <c r="F125">
        <f t="shared" si="4"/>
        <v>-5.5387049980219136E-3</v>
      </c>
      <c r="G125">
        <f t="shared" si="5"/>
        <v>-4.7690421038287818E-3</v>
      </c>
    </row>
    <row r="126" spans="1:7" ht="18" x14ac:dyDescent="0.2">
      <c r="A126" s="1">
        <v>45908</v>
      </c>
      <c r="B126" s="2">
        <v>108.18</v>
      </c>
      <c r="C126" s="2">
        <v>150.82</v>
      </c>
      <c r="D126" s="2">
        <v>73.040000000000006</v>
      </c>
      <c r="E126">
        <f t="shared" si="3"/>
        <v>-5.6387502310964463E-3</v>
      </c>
      <c r="F126">
        <f t="shared" si="4"/>
        <v>-2.1880387216548476E-3</v>
      </c>
      <c r="G126">
        <f t="shared" si="5"/>
        <v>-5.6133625410735317E-3</v>
      </c>
    </row>
    <row r="127" spans="1:7" ht="18" x14ac:dyDescent="0.2">
      <c r="A127" s="1">
        <v>45905</v>
      </c>
      <c r="B127" s="2">
        <v>107.57</v>
      </c>
      <c r="C127" s="2">
        <v>150.49</v>
      </c>
      <c r="D127" s="2">
        <v>72.63</v>
      </c>
      <c r="E127">
        <f t="shared" si="3"/>
        <v>2.9004369247931625E-2</v>
      </c>
      <c r="F127">
        <f t="shared" si="4"/>
        <v>2.6247591202073151E-2</v>
      </c>
      <c r="G127">
        <f t="shared" si="5"/>
        <v>2.1341043645876516E-2</v>
      </c>
    </row>
    <row r="128" spans="1:7" ht="18" x14ac:dyDescent="0.2">
      <c r="A128" s="1">
        <v>45904</v>
      </c>
      <c r="B128" s="2">
        <v>110.69</v>
      </c>
      <c r="C128" s="2">
        <v>154.44</v>
      </c>
      <c r="D128" s="2">
        <v>74.180000000000007</v>
      </c>
      <c r="E128">
        <f t="shared" si="3"/>
        <v>-4.336435088987298E-3</v>
      </c>
      <c r="F128">
        <f t="shared" si="4"/>
        <v>2.3310023310024195E-3</v>
      </c>
      <c r="G128">
        <f t="shared" si="5"/>
        <v>8.7624696683741097E-3</v>
      </c>
    </row>
    <row r="129" spans="1:7" ht="18" x14ac:dyDescent="0.2">
      <c r="A129" s="1">
        <v>45903</v>
      </c>
      <c r="B129" s="2">
        <v>110.21</v>
      </c>
      <c r="C129" s="2">
        <v>154.80000000000001</v>
      </c>
      <c r="D129" s="2">
        <v>74.83</v>
      </c>
      <c r="E129">
        <f t="shared" si="3"/>
        <v>2.4770891933581382E-2</v>
      </c>
      <c r="F129">
        <f t="shared" si="4"/>
        <v>2.3837209302325565E-2</v>
      </c>
      <c r="G129">
        <f t="shared" si="5"/>
        <v>2.579179473473215E-2</v>
      </c>
    </row>
    <row r="130" spans="1:7" ht="18" x14ac:dyDescent="0.2">
      <c r="A130" s="1">
        <v>45902</v>
      </c>
      <c r="B130" s="2">
        <v>112.94</v>
      </c>
      <c r="C130" s="2">
        <v>158.49</v>
      </c>
      <c r="D130" s="2">
        <v>76.760000000000005</v>
      </c>
      <c r="E130">
        <f t="shared" si="3"/>
        <v>-3.4531609704267804E-3</v>
      </c>
      <c r="F130">
        <f t="shared" si="4"/>
        <v>-7.5714556123415797E-3</v>
      </c>
      <c r="G130">
        <f t="shared" si="5"/>
        <v>-2.5013027618551349E-2</v>
      </c>
    </row>
    <row r="131" spans="1:7" ht="18" x14ac:dyDescent="0.2">
      <c r="A131" s="1">
        <v>45898</v>
      </c>
      <c r="B131" s="2">
        <v>112.55</v>
      </c>
      <c r="C131" s="2">
        <v>157.29</v>
      </c>
      <c r="D131" s="2">
        <v>74.84</v>
      </c>
      <c r="E131">
        <f t="shared" ref="E131:E194" si="6">(B132-B131)/B131</f>
        <v>-8.2629942247889176E-3</v>
      </c>
      <c r="F131">
        <f t="shared" ref="F131:F194" si="7">(C132-C131)/C131</f>
        <v>-8.010680907877113E-3</v>
      </c>
      <c r="G131">
        <f t="shared" ref="G131:G194" si="8">(D132-D131)/D131</f>
        <v>5.3447354355958239E-3</v>
      </c>
    </row>
    <row r="132" spans="1:7" ht="18" x14ac:dyDescent="0.2">
      <c r="A132" s="1">
        <v>45897</v>
      </c>
      <c r="B132" s="2">
        <v>111.62</v>
      </c>
      <c r="C132" s="2">
        <v>156.03</v>
      </c>
      <c r="D132" s="2">
        <v>75.239999999999995</v>
      </c>
      <c r="E132">
        <f t="shared" si="6"/>
        <v>-5.2857910768679753E-3</v>
      </c>
      <c r="F132">
        <f t="shared" si="7"/>
        <v>-4.4863167339609806E-4</v>
      </c>
      <c r="G132">
        <f t="shared" si="8"/>
        <v>-7.442849548112548E-3</v>
      </c>
    </row>
    <row r="133" spans="1:7" ht="18" x14ac:dyDescent="0.2">
      <c r="A133" s="1">
        <v>45896</v>
      </c>
      <c r="B133" s="2">
        <v>111.03</v>
      </c>
      <c r="C133" s="2">
        <v>155.96</v>
      </c>
      <c r="D133" s="2">
        <v>74.680000000000007</v>
      </c>
      <c r="E133">
        <f t="shared" si="6"/>
        <v>-1.1168152751508556E-2</v>
      </c>
      <c r="F133">
        <f t="shared" si="7"/>
        <v>-1.1862015901513171E-2</v>
      </c>
      <c r="G133">
        <f t="shared" si="8"/>
        <v>-8.4359935725764543E-3</v>
      </c>
    </row>
    <row r="134" spans="1:7" ht="18" x14ac:dyDescent="0.2">
      <c r="A134" s="1">
        <v>45895</v>
      </c>
      <c r="B134" s="2">
        <v>109.79</v>
      </c>
      <c r="C134" s="2">
        <v>154.11000000000001</v>
      </c>
      <c r="D134" s="2">
        <v>74.05</v>
      </c>
      <c r="E134">
        <f t="shared" si="6"/>
        <v>2.2770744147918754E-3</v>
      </c>
      <c r="F134">
        <f t="shared" si="7"/>
        <v>5.3857634157418984E-3</v>
      </c>
      <c r="G134">
        <f t="shared" si="8"/>
        <v>2.2957461174881875E-2</v>
      </c>
    </row>
    <row r="135" spans="1:7" ht="18" x14ac:dyDescent="0.2">
      <c r="A135" s="1">
        <v>45894</v>
      </c>
      <c r="B135" s="2">
        <v>110.04</v>
      </c>
      <c r="C135" s="2">
        <v>154.94</v>
      </c>
      <c r="D135" s="2">
        <v>75.75</v>
      </c>
      <c r="E135">
        <f t="shared" si="6"/>
        <v>-4.1802980734279164E-3</v>
      </c>
      <c r="F135">
        <f t="shared" si="7"/>
        <v>-1.2908222537763155E-4</v>
      </c>
      <c r="G135">
        <f t="shared" si="8"/>
        <v>-1.4653465346534646E-2</v>
      </c>
    </row>
    <row r="136" spans="1:7" ht="18" x14ac:dyDescent="0.2">
      <c r="A136" s="1">
        <v>45891</v>
      </c>
      <c r="B136" s="2">
        <v>109.58</v>
      </c>
      <c r="C136" s="2">
        <v>154.91999999999999</v>
      </c>
      <c r="D136" s="2">
        <v>74.64</v>
      </c>
      <c r="E136">
        <f t="shared" si="6"/>
        <v>-1.8342763277970478E-2</v>
      </c>
      <c r="F136">
        <f t="shared" si="7"/>
        <v>-1.6653756777691611E-2</v>
      </c>
      <c r="G136">
        <f t="shared" si="8"/>
        <v>-6.8327974276528019E-3</v>
      </c>
    </row>
    <row r="137" spans="1:7" ht="18" x14ac:dyDescent="0.2">
      <c r="A137" s="1">
        <v>45890</v>
      </c>
      <c r="B137" s="2">
        <v>107.57</v>
      </c>
      <c r="C137" s="2">
        <v>152.34</v>
      </c>
      <c r="D137" s="2">
        <v>74.13</v>
      </c>
      <c r="E137">
        <f t="shared" si="6"/>
        <v>-6.4144278144463865E-3</v>
      </c>
      <c r="F137">
        <f t="shared" si="7"/>
        <v>-1.4966522252855462E-2</v>
      </c>
      <c r="G137">
        <f t="shared" si="8"/>
        <v>-8.2287872656144536E-3</v>
      </c>
    </row>
    <row r="138" spans="1:7" ht="18" x14ac:dyDescent="0.2">
      <c r="A138" s="1">
        <v>45889</v>
      </c>
      <c r="B138" s="2">
        <v>106.88</v>
      </c>
      <c r="C138" s="2">
        <v>150.06</v>
      </c>
      <c r="D138" s="2">
        <v>73.52</v>
      </c>
      <c r="E138">
        <f t="shared" si="6"/>
        <v>-1.0291916167664618E-2</v>
      </c>
      <c r="F138">
        <f t="shared" si="7"/>
        <v>-7.9968012794881284E-3</v>
      </c>
      <c r="G138">
        <f t="shared" si="8"/>
        <v>-1.6594124047878113E-2</v>
      </c>
    </row>
    <row r="139" spans="1:7" ht="18" x14ac:dyDescent="0.2">
      <c r="A139" s="1">
        <v>45888</v>
      </c>
      <c r="B139" s="2">
        <v>105.78</v>
      </c>
      <c r="C139" s="2">
        <v>148.86000000000001</v>
      </c>
      <c r="D139" s="2">
        <v>72.3</v>
      </c>
      <c r="E139">
        <f t="shared" si="6"/>
        <v>-6.5229722064662288E-3</v>
      </c>
      <c r="F139">
        <f t="shared" si="7"/>
        <v>1.0613999731291039E-2</v>
      </c>
      <c r="G139">
        <f t="shared" si="8"/>
        <v>1.2033195020746951E-2</v>
      </c>
    </row>
    <row r="140" spans="1:7" ht="18" x14ac:dyDescent="0.2">
      <c r="A140" s="1">
        <v>45887</v>
      </c>
      <c r="B140" s="2">
        <v>105.09</v>
      </c>
      <c r="C140" s="2">
        <v>150.44</v>
      </c>
      <c r="D140" s="2">
        <v>73.17</v>
      </c>
      <c r="E140">
        <f t="shared" si="6"/>
        <v>-2.0934437149110179E-3</v>
      </c>
      <c r="F140">
        <f t="shared" si="7"/>
        <v>7.9101302844987887E-3</v>
      </c>
      <c r="G140">
        <f t="shared" si="8"/>
        <v>-5.0567172338390667E-3</v>
      </c>
    </row>
    <row r="141" spans="1:7" ht="18" x14ac:dyDescent="0.2">
      <c r="A141" s="1">
        <v>45884</v>
      </c>
      <c r="B141" s="2">
        <v>104.87</v>
      </c>
      <c r="C141" s="2">
        <v>151.63</v>
      </c>
      <c r="D141" s="2">
        <v>72.8</v>
      </c>
      <c r="E141">
        <f t="shared" si="6"/>
        <v>-9.5356155239828858E-4</v>
      </c>
      <c r="F141">
        <f t="shared" si="7"/>
        <v>-8.8373013255952215E-3</v>
      </c>
      <c r="G141">
        <f t="shared" si="8"/>
        <v>1.2912087912087882E-2</v>
      </c>
    </row>
    <row r="142" spans="1:7" ht="18" x14ac:dyDescent="0.2">
      <c r="A142" s="1">
        <v>45883</v>
      </c>
      <c r="B142" s="2">
        <v>104.77</v>
      </c>
      <c r="C142" s="2">
        <v>150.29</v>
      </c>
      <c r="D142" s="2">
        <v>73.739999999999995</v>
      </c>
      <c r="E142">
        <f t="shared" si="6"/>
        <v>2.004390569819681E-3</v>
      </c>
      <c r="F142">
        <f t="shared" si="7"/>
        <v>4.5245858007851945E-3</v>
      </c>
      <c r="G142">
        <f t="shared" si="8"/>
        <v>-1.7358285869270428E-2</v>
      </c>
    </row>
    <row r="143" spans="1:7" ht="18" x14ac:dyDescent="0.2">
      <c r="A143" s="1">
        <v>45882</v>
      </c>
      <c r="B143" s="2">
        <v>104.98</v>
      </c>
      <c r="C143" s="2">
        <v>150.97</v>
      </c>
      <c r="D143" s="2">
        <v>72.459999999999994</v>
      </c>
      <c r="E143">
        <f t="shared" si="6"/>
        <v>-1.3621642217565315E-2</v>
      </c>
      <c r="F143">
        <f t="shared" si="7"/>
        <v>-9.1408889183281147E-3</v>
      </c>
      <c r="G143">
        <f t="shared" si="8"/>
        <v>6.7623516422855249E-3</v>
      </c>
    </row>
    <row r="144" spans="1:7" ht="18" x14ac:dyDescent="0.2">
      <c r="A144" s="1">
        <v>45881</v>
      </c>
      <c r="B144" s="2">
        <v>103.55</v>
      </c>
      <c r="C144" s="2">
        <v>149.59</v>
      </c>
      <c r="D144" s="2">
        <v>72.95</v>
      </c>
      <c r="E144">
        <f t="shared" si="6"/>
        <v>-2.8005794302268668E-3</v>
      </c>
      <c r="F144">
        <f t="shared" si="7"/>
        <v>-6.417541279497346E-3</v>
      </c>
      <c r="G144">
        <f t="shared" si="8"/>
        <v>1.165181631254276E-2</v>
      </c>
    </row>
    <row r="145" spans="1:7" ht="18" x14ac:dyDescent="0.2">
      <c r="A145" s="1">
        <v>45880</v>
      </c>
      <c r="B145" s="2">
        <v>103.26</v>
      </c>
      <c r="C145" s="2">
        <v>148.63</v>
      </c>
      <c r="D145" s="2">
        <v>73.8</v>
      </c>
      <c r="E145">
        <f t="shared" si="6"/>
        <v>9.1032345535541122E-3</v>
      </c>
      <c r="F145">
        <f t="shared" si="7"/>
        <v>1.0159456368162491E-2</v>
      </c>
      <c r="G145">
        <f t="shared" si="8"/>
        <v>-6.7750677506775072E-3</v>
      </c>
    </row>
    <row r="146" spans="1:7" ht="18" x14ac:dyDescent="0.2">
      <c r="A146" s="1">
        <v>45877</v>
      </c>
      <c r="B146" s="2">
        <v>104.2</v>
      </c>
      <c r="C146" s="2">
        <v>150.13999999999999</v>
      </c>
      <c r="D146" s="2">
        <v>73.3</v>
      </c>
      <c r="E146">
        <f t="shared" si="6"/>
        <v>-7.9654510556621712E-3</v>
      </c>
      <c r="F146">
        <f t="shared" si="7"/>
        <v>-1.1922205941121568E-2</v>
      </c>
      <c r="G146">
        <f t="shared" si="8"/>
        <v>1.6371077762619994E-3</v>
      </c>
    </row>
    <row r="147" spans="1:7" ht="18" x14ac:dyDescent="0.2">
      <c r="A147" s="1">
        <v>45876</v>
      </c>
      <c r="B147" s="2">
        <v>103.37</v>
      </c>
      <c r="C147" s="2">
        <v>148.35</v>
      </c>
      <c r="D147" s="2">
        <v>73.42</v>
      </c>
      <c r="E147">
        <f t="shared" si="6"/>
        <v>5.3206926574441054E-3</v>
      </c>
      <c r="F147">
        <f t="shared" si="7"/>
        <v>-2.4941017863161748E-3</v>
      </c>
      <c r="G147">
        <f t="shared" si="8"/>
        <v>5.0394987741760357E-3</v>
      </c>
    </row>
    <row r="148" spans="1:7" ht="18" x14ac:dyDescent="0.2">
      <c r="A148" s="1">
        <v>45875</v>
      </c>
      <c r="B148" s="2">
        <v>103.92</v>
      </c>
      <c r="C148" s="2">
        <v>147.97999999999999</v>
      </c>
      <c r="D148" s="2">
        <v>73.790000000000006</v>
      </c>
      <c r="E148">
        <f t="shared" si="6"/>
        <v>6.8321785989221874E-3</v>
      </c>
      <c r="F148">
        <f t="shared" si="7"/>
        <v>1.6894174888498446E-3</v>
      </c>
      <c r="G148">
        <f t="shared" si="8"/>
        <v>1.6668925328635176E-2</v>
      </c>
    </row>
    <row r="149" spans="1:7" ht="18" x14ac:dyDescent="0.2">
      <c r="A149" s="1">
        <v>45874</v>
      </c>
      <c r="B149" s="2">
        <v>104.63</v>
      </c>
      <c r="C149" s="2">
        <v>148.22999999999999</v>
      </c>
      <c r="D149" s="2">
        <v>75.02</v>
      </c>
      <c r="E149">
        <f t="shared" si="6"/>
        <v>1.2424734779700819E-3</v>
      </c>
      <c r="F149">
        <f t="shared" si="7"/>
        <v>-1.3020306280779725E-2</v>
      </c>
      <c r="G149">
        <f t="shared" si="8"/>
        <v>1.4529458810983784E-2</v>
      </c>
    </row>
    <row r="150" spans="1:7" ht="18" x14ac:dyDescent="0.2">
      <c r="A150" s="1">
        <v>45873</v>
      </c>
      <c r="B150" s="2">
        <v>104.76</v>
      </c>
      <c r="C150" s="2">
        <v>146.30000000000001</v>
      </c>
      <c r="D150" s="2">
        <v>76.11</v>
      </c>
      <c r="E150">
        <f t="shared" si="6"/>
        <v>2.1095838106147322E-2</v>
      </c>
      <c r="F150">
        <f t="shared" si="7"/>
        <v>2.3239917976758369E-3</v>
      </c>
      <c r="G150">
        <f t="shared" si="8"/>
        <v>1.7737485218762242E-2</v>
      </c>
    </row>
    <row r="151" spans="1:7" ht="18" x14ac:dyDescent="0.2">
      <c r="A151" s="1">
        <v>45870</v>
      </c>
      <c r="B151" s="2">
        <v>106.97</v>
      </c>
      <c r="C151" s="2">
        <v>146.63999999999999</v>
      </c>
      <c r="D151" s="2">
        <v>77.459999999999994</v>
      </c>
      <c r="E151">
        <f t="shared" si="6"/>
        <v>1.8322894269421408E-2</v>
      </c>
      <c r="F151">
        <f t="shared" si="7"/>
        <v>1.6366612111293583E-3</v>
      </c>
      <c r="G151">
        <f t="shared" si="8"/>
        <v>2.7498063516653883E-2</v>
      </c>
    </row>
    <row r="152" spans="1:7" ht="18" x14ac:dyDescent="0.2">
      <c r="A152" s="1">
        <v>45869</v>
      </c>
      <c r="B152" s="2">
        <v>108.93</v>
      </c>
      <c r="C152" s="2">
        <v>146.88</v>
      </c>
      <c r="D152" s="2">
        <v>79.59</v>
      </c>
      <c r="E152">
        <f t="shared" si="6"/>
        <v>2.2950518681722205E-3</v>
      </c>
      <c r="F152">
        <f t="shared" si="7"/>
        <v>1.2663398692810551E-2</v>
      </c>
      <c r="G152">
        <f t="shared" si="8"/>
        <v>1.8218369141852025E-2</v>
      </c>
    </row>
    <row r="153" spans="1:7" ht="18" x14ac:dyDescent="0.2">
      <c r="A153" s="1">
        <v>45868</v>
      </c>
      <c r="B153" s="2">
        <v>109.18</v>
      </c>
      <c r="C153" s="2">
        <v>148.74</v>
      </c>
      <c r="D153" s="2">
        <v>81.040000000000006</v>
      </c>
      <c r="E153">
        <f t="shared" si="6"/>
        <v>8.7928191976551912E-3</v>
      </c>
      <c r="F153">
        <f t="shared" si="7"/>
        <v>2.2589753933037415E-2</v>
      </c>
      <c r="G153">
        <f t="shared" si="8"/>
        <v>-1.5301085883514426E-2</v>
      </c>
    </row>
    <row r="154" spans="1:7" ht="18" x14ac:dyDescent="0.2">
      <c r="A154" s="1">
        <v>45867</v>
      </c>
      <c r="B154" s="2">
        <v>110.14</v>
      </c>
      <c r="C154" s="2">
        <v>152.1</v>
      </c>
      <c r="D154" s="2">
        <v>79.8</v>
      </c>
      <c r="E154">
        <f t="shared" si="6"/>
        <v>-1.2801888505538374E-2</v>
      </c>
      <c r="F154">
        <f t="shared" si="7"/>
        <v>-4.799474030243194E-3</v>
      </c>
      <c r="G154">
        <f t="shared" si="8"/>
        <v>-3.295739348370922E-2</v>
      </c>
    </row>
    <row r="155" spans="1:7" ht="18" x14ac:dyDescent="0.2">
      <c r="A155" s="1">
        <v>45866</v>
      </c>
      <c r="B155" s="2">
        <v>108.73</v>
      </c>
      <c r="C155" s="2">
        <v>151.37</v>
      </c>
      <c r="D155" s="2">
        <v>77.17</v>
      </c>
      <c r="E155">
        <f t="shared" si="6"/>
        <v>-9.289064655568887E-3</v>
      </c>
      <c r="F155">
        <f t="shared" si="7"/>
        <v>-9.1827971196407135E-3</v>
      </c>
      <c r="G155">
        <f t="shared" si="8"/>
        <v>-3.0063496177271054E-2</v>
      </c>
    </row>
    <row r="156" spans="1:7" ht="18" x14ac:dyDescent="0.2">
      <c r="A156" s="1">
        <v>45863</v>
      </c>
      <c r="B156" s="2">
        <v>107.72</v>
      </c>
      <c r="C156" s="2">
        <v>149.97999999999999</v>
      </c>
      <c r="D156" s="2">
        <v>74.849999999999994</v>
      </c>
      <c r="E156">
        <f t="shared" si="6"/>
        <v>3.5276643148904148E-3</v>
      </c>
      <c r="F156">
        <f t="shared" si="7"/>
        <v>6.4008534471263366E-3</v>
      </c>
      <c r="G156">
        <f t="shared" si="8"/>
        <v>1.6566466265865186E-2</v>
      </c>
    </row>
    <row r="157" spans="1:7" ht="18" x14ac:dyDescent="0.2">
      <c r="A157" s="1">
        <v>45862</v>
      </c>
      <c r="B157" s="2">
        <v>108.1</v>
      </c>
      <c r="C157" s="2">
        <v>150.94</v>
      </c>
      <c r="D157" s="2">
        <v>76.09</v>
      </c>
      <c r="E157">
        <f t="shared" si="6"/>
        <v>-7.7705827937094287E-3</v>
      </c>
      <c r="F157">
        <f t="shared" si="7"/>
        <v>-1.7424142043195943E-2</v>
      </c>
      <c r="G157">
        <f t="shared" si="8"/>
        <v>-1.0645288474175348E-2</v>
      </c>
    </row>
    <row r="158" spans="1:7" ht="18" x14ac:dyDescent="0.2">
      <c r="A158" s="1">
        <v>45861</v>
      </c>
      <c r="B158" s="2">
        <v>107.26</v>
      </c>
      <c r="C158" s="2">
        <v>148.31</v>
      </c>
      <c r="D158" s="2">
        <v>75.28</v>
      </c>
      <c r="E158">
        <f t="shared" si="6"/>
        <v>-1.2679470445646088E-2</v>
      </c>
      <c r="F158">
        <f t="shared" si="7"/>
        <v>-2.0093048344683364E-2</v>
      </c>
      <c r="G158">
        <f t="shared" si="8"/>
        <v>9.2986184909661499E-4</v>
      </c>
    </row>
    <row r="159" spans="1:7" ht="18" x14ac:dyDescent="0.2">
      <c r="A159" s="1">
        <v>45860</v>
      </c>
      <c r="B159" s="2">
        <v>105.9</v>
      </c>
      <c r="C159" s="2">
        <v>145.33000000000001</v>
      </c>
      <c r="D159" s="2">
        <v>75.349999999999994</v>
      </c>
      <c r="E159">
        <f t="shared" si="6"/>
        <v>-4.5325779036827565E-3</v>
      </c>
      <c r="F159">
        <f t="shared" si="7"/>
        <v>-2.4083121172505518E-3</v>
      </c>
      <c r="G159">
        <f t="shared" si="8"/>
        <v>3.1851360318514814E-3</v>
      </c>
    </row>
    <row r="160" spans="1:7" ht="18" x14ac:dyDescent="0.2">
      <c r="A160" s="1">
        <v>45859</v>
      </c>
      <c r="B160" s="2">
        <v>105.42</v>
      </c>
      <c r="C160" s="2">
        <v>144.97999999999999</v>
      </c>
      <c r="D160" s="2">
        <v>75.59</v>
      </c>
      <c r="E160">
        <f t="shared" si="6"/>
        <v>-2.5611838360841965E-3</v>
      </c>
      <c r="F160">
        <f t="shared" si="7"/>
        <v>2.414126086356896E-3</v>
      </c>
      <c r="G160">
        <f t="shared" si="8"/>
        <v>4.4979494642148881E-3</v>
      </c>
    </row>
    <row r="161" spans="1:7" ht="18" x14ac:dyDescent="0.2">
      <c r="A161" s="1">
        <v>45856</v>
      </c>
      <c r="B161" s="2">
        <v>105.15</v>
      </c>
      <c r="C161" s="2">
        <v>145.33000000000001</v>
      </c>
      <c r="D161" s="2">
        <v>75.930000000000007</v>
      </c>
      <c r="E161">
        <f t="shared" si="6"/>
        <v>3.6138849262957649E-2</v>
      </c>
      <c r="F161">
        <f t="shared" si="7"/>
        <v>8.9451592926442086E-3</v>
      </c>
      <c r="G161">
        <f t="shared" si="8"/>
        <v>3.0291057553008E-3</v>
      </c>
    </row>
    <row r="162" spans="1:7" ht="18" x14ac:dyDescent="0.2">
      <c r="A162" s="1">
        <v>45855</v>
      </c>
      <c r="B162" s="2">
        <v>108.95</v>
      </c>
      <c r="C162" s="2">
        <v>146.63</v>
      </c>
      <c r="D162" s="2">
        <v>76.16</v>
      </c>
      <c r="E162">
        <f t="shared" si="6"/>
        <v>5.048187241854035E-3</v>
      </c>
      <c r="F162">
        <f t="shared" si="7"/>
        <v>-9.6842392416285044E-3</v>
      </c>
      <c r="G162">
        <f t="shared" si="8"/>
        <v>-1.2736344537815112E-2</v>
      </c>
    </row>
    <row r="163" spans="1:7" ht="18" x14ac:dyDescent="0.2">
      <c r="A163" s="1">
        <v>45854</v>
      </c>
      <c r="B163" s="2">
        <v>109.5</v>
      </c>
      <c r="C163" s="2">
        <v>145.21</v>
      </c>
      <c r="D163" s="2">
        <v>75.19</v>
      </c>
      <c r="E163">
        <f t="shared" si="6"/>
        <v>6.0273972602739416E-3</v>
      </c>
      <c r="F163">
        <f t="shared" si="7"/>
        <v>5.1649335445217272E-3</v>
      </c>
      <c r="G163">
        <f t="shared" si="8"/>
        <v>9.3097486367877899E-4</v>
      </c>
    </row>
    <row r="164" spans="1:7" ht="18" x14ac:dyDescent="0.2">
      <c r="A164" s="1">
        <v>45853</v>
      </c>
      <c r="B164" s="2">
        <v>110.16</v>
      </c>
      <c r="C164" s="2">
        <v>145.96</v>
      </c>
      <c r="D164" s="2">
        <v>75.260000000000005</v>
      </c>
      <c r="E164">
        <f t="shared" si="6"/>
        <v>8.986928104575246E-3</v>
      </c>
      <c r="F164">
        <f t="shared" si="7"/>
        <v>6.3716086599066753E-3</v>
      </c>
      <c r="G164">
        <f t="shared" si="8"/>
        <v>4.7834174860483577E-3</v>
      </c>
    </row>
    <row r="165" spans="1:7" ht="18" x14ac:dyDescent="0.2">
      <c r="A165" s="1">
        <v>45852</v>
      </c>
      <c r="B165" s="2">
        <v>111.15</v>
      </c>
      <c r="C165" s="2">
        <v>146.88999999999999</v>
      </c>
      <c r="D165" s="2">
        <v>75.62</v>
      </c>
      <c r="E165">
        <f t="shared" si="6"/>
        <v>1.3225371120107951E-2</v>
      </c>
      <c r="F165">
        <f t="shared" si="7"/>
        <v>2.409966641704691E-2</v>
      </c>
      <c r="G165">
        <f t="shared" si="8"/>
        <v>2.2084104734197325E-2</v>
      </c>
    </row>
    <row r="166" spans="1:7" ht="18" x14ac:dyDescent="0.2">
      <c r="A166" s="1">
        <v>45849</v>
      </c>
      <c r="B166" s="2">
        <v>112.62</v>
      </c>
      <c r="C166" s="2">
        <v>150.43</v>
      </c>
      <c r="D166" s="2">
        <v>77.290000000000006</v>
      </c>
      <c r="E166">
        <f t="shared" si="6"/>
        <v>-4.2621204049014738E-3</v>
      </c>
      <c r="F166">
        <f t="shared" si="7"/>
        <v>-7.3123712025526446E-3</v>
      </c>
      <c r="G166">
        <f t="shared" si="8"/>
        <v>-2.4582740328632495E-2</v>
      </c>
    </row>
    <row r="167" spans="1:7" ht="18" x14ac:dyDescent="0.2">
      <c r="A167" s="1">
        <v>45848</v>
      </c>
      <c r="B167" s="2">
        <v>112.14</v>
      </c>
      <c r="C167" s="2">
        <v>149.33000000000001</v>
      </c>
      <c r="D167" s="2">
        <v>75.39</v>
      </c>
      <c r="E167">
        <f t="shared" si="6"/>
        <v>-9.8983413590155115E-3</v>
      </c>
      <c r="F167">
        <f t="shared" si="7"/>
        <v>-7.5001674144512453E-3</v>
      </c>
      <c r="G167">
        <f t="shared" si="8"/>
        <v>2.0427112349118003E-2</v>
      </c>
    </row>
    <row r="168" spans="1:7" ht="18" x14ac:dyDescent="0.2">
      <c r="A168" s="1">
        <v>45847</v>
      </c>
      <c r="B168" s="2">
        <v>111.03</v>
      </c>
      <c r="C168" s="2">
        <v>148.21</v>
      </c>
      <c r="D168" s="2">
        <v>76.930000000000007</v>
      </c>
      <c r="E168">
        <f t="shared" si="6"/>
        <v>3.4224984238493692E-3</v>
      </c>
      <c r="F168">
        <f t="shared" si="7"/>
        <v>1.4843802712367509E-3</v>
      </c>
      <c r="G168">
        <f t="shared" si="8"/>
        <v>3.8996490315854575E-4</v>
      </c>
    </row>
    <row r="169" spans="1:7" ht="18" x14ac:dyDescent="0.2">
      <c r="A169" s="1">
        <v>45846</v>
      </c>
      <c r="B169" s="2">
        <v>111.41</v>
      </c>
      <c r="C169" s="2">
        <v>148.43</v>
      </c>
      <c r="D169" s="2">
        <v>76.959999999999994</v>
      </c>
      <c r="E169">
        <f t="shared" si="6"/>
        <v>-2.6927564850552015E-2</v>
      </c>
      <c r="F169">
        <f t="shared" si="7"/>
        <v>-3.8132453008151969E-2</v>
      </c>
      <c r="G169">
        <f t="shared" si="8"/>
        <v>-6.2370062370061046E-3</v>
      </c>
    </row>
    <row r="170" spans="1:7" ht="18" x14ac:dyDescent="0.2">
      <c r="A170" s="1">
        <v>45845</v>
      </c>
      <c r="B170" s="2">
        <v>108.41</v>
      </c>
      <c r="C170" s="2">
        <v>142.77000000000001</v>
      </c>
      <c r="D170" s="2">
        <v>76.48</v>
      </c>
      <c r="E170">
        <f t="shared" si="6"/>
        <v>9.7776957845217439E-3</v>
      </c>
      <c r="F170">
        <f t="shared" si="7"/>
        <v>6.58401624991243E-3</v>
      </c>
      <c r="G170">
        <f t="shared" si="8"/>
        <v>-1.6867154811715562E-2</v>
      </c>
    </row>
    <row r="171" spans="1:7" ht="18" x14ac:dyDescent="0.2">
      <c r="A171" s="1">
        <v>45841</v>
      </c>
      <c r="B171" s="2">
        <v>109.47</v>
      </c>
      <c r="C171" s="2">
        <v>143.71</v>
      </c>
      <c r="D171" s="2">
        <v>75.19</v>
      </c>
      <c r="E171">
        <f t="shared" si="6"/>
        <v>-1.0231113547090569E-2</v>
      </c>
      <c r="F171">
        <f t="shared" si="7"/>
        <v>-2.6442140421682235E-3</v>
      </c>
      <c r="G171">
        <f t="shared" si="8"/>
        <v>5.3198563638782509E-3</v>
      </c>
    </row>
    <row r="172" spans="1:7" ht="18" x14ac:dyDescent="0.2">
      <c r="A172" s="1">
        <v>45840</v>
      </c>
      <c r="B172" s="2">
        <v>108.35</v>
      </c>
      <c r="C172" s="2">
        <v>143.33000000000001</v>
      </c>
      <c r="D172" s="2">
        <v>75.59</v>
      </c>
      <c r="E172">
        <f t="shared" si="6"/>
        <v>-1.6335948315643712E-2</v>
      </c>
      <c r="F172">
        <f t="shared" si="7"/>
        <v>-1.6256192004465306E-2</v>
      </c>
      <c r="G172">
        <f t="shared" si="8"/>
        <v>-2.1960576795872423E-2</v>
      </c>
    </row>
    <row r="173" spans="1:7" ht="18" x14ac:dyDescent="0.2">
      <c r="A173" s="1">
        <v>45839</v>
      </c>
      <c r="B173" s="2">
        <v>106.58</v>
      </c>
      <c r="C173" s="2">
        <v>141</v>
      </c>
      <c r="D173" s="2">
        <v>73.930000000000007</v>
      </c>
      <c r="E173">
        <f t="shared" si="6"/>
        <v>-1.3135672734096373E-2</v>
      </c>
      <c r="F173">
        <f t="shared" si="7"/>
        <v>-1.638297872340427E-2</v>
      </c>
      <c r="G173">
        <f t="shared" si="8"/>
        <v>-1.1091573109698463E-2</v>
      </c>
    </row>
    <row r="174" spans="1:7" ht="18" x14ac:dyDescent="0.2">
      <c r="A174" s="1">
        <v>45838</v>
      </c>
      <c r="B174" s="2">
        <v>105.18</v>
      </c>
      <c r="C174" s="2">
        <v>138.69</v>
      </c>
      <c r="D174" s="2">
        <v>73.11</v>
      </c>
      <c r="E174">
        <f t="shared" si="6"/>
        <v>1.4641566837801786E-2</v>
      </c>
      <c r="F174">
        <f t="shared" si="7"/>
        <v>4.1819886076862973E-3</v>
      </c>
      <c r="G174">
        <f t="shared" si="8"/>
        <v>2.3252633018739119E-3</v>
      </c>
    </row>
    <row r="175" spans="1:7" ht="18" x14ac:dyDescent="0.2">
      <c r="A175" s="1">
        <v>45835</v>
      </c>
      <c r="B175" s="2">
        <v>106.72</v>
      </c>
      <c r="C175" s="2">
        <v>139.27000000000001</v>
      </c>
      <c r="D175" s="2">
        <v>73.28</v>
      </c>
      <c r="E175">
        <f t="shared" si="6"/>
        <v>5.622188905547173E-3</v>
      </c>
      <c r="F175">
        <f t="shared" si="7"/>
        <v>4.523587276513215E-3</v>
      </c>
      <c r="G175">
        <f t="shared" si="8"/>
        <v>4.2303493449781966E-3</v>
      </c>
    </row>
    <row r="176" spans="1:7" ht="18" x14ac:dyDescent="0.2">
      <c r="A176" s="1">
        <v>45834</v>
      </c>
      <c r="B176" s="2">
        <v>107.32</v>
      </c>
      <c r="C176" s="2">
        <v>139.9</v>
      </c>
      <c r="D176" s="2">
        <v>73.59</v>
      </c>
      <c r="E176">
        <f t="shared" si="6"/>
        <v>-1.4722325754752128E-2</v>
      </c>
      <c r="F176">
        <f t="shared" si="7"/>
        <v>-8.3631165117942514E-3</v>
      </c>
      <c r="G176">
        <f t="shared" si="8"/>
        <v>-3.804864791411892E-3</v>
      </c>
    </row>
    <row r="177" spans="1:7" ht="18" x14ac:dyDescent="0.2">
      <c r="A177" s="1">
        <v>45833</v>
      </c>
      <c r="B177" s="2">
        <v>105.74</v>
      </c>
      <c r="C177" s="2">
        <v>138.72999999999999</v>
      </c>
      <c r="D177" s="2">
        <v>73.31</v>
      </c>
      <c r="E177">
        <f t="shared" si="6"/>
        <v>-2.8371477208247718E-4</v>
      </c>
      <c r="F177">
        <f t="shared" si="7"/>
        <v>2.2345563324443329E-3</v>
      </c>
      <c r="G177">
        <f t="shared" si="8"/>
        <v>-4.2286181966989808E-3</v>
      </c>
    </row>
    <row r="178" spans="1:7" ht="18" x14ac:dyDescent="0.2">
      <c r="A178" s="1">
        <v>45832</v>
      </c>
      <c r="B178" s="2">
        <v>105.71</v>
      </c>
      <c r="C178" s="2">
        <v>139.04</v>
      </c>
      <c r="D178" s="2">
        <v>73</v>
      </c>
      <c r="E178">
        <f t="shared" si="6"/>
        <v>3.131208021946838E-2</v>
      </c>
      <c r="F178">
        <f t="shared" si="7"/>
        <v>2.3086881472957482E-2</v>
      </c>
      <c r="G178">
        <f t="shared" si="8"/>
        <v>4.6712328767123244E-2</v>
      </c>
    </row>
    <row r="179" spans="1:7" ht="18" x14ac:dyDescent="0.2">
      <c r="A179" s="1">
        <v>45831</v>
      </c>
      <c r="B179" s="2">
        <v>109.02</v>
      </c>
      <c r="C179" s="2">
        <v>142.25</v>
      </c>
      <c r="D179" s="2">
        <v>76.41</v>
      </c>
      <c r="E179">
        <f t="shared" si="6"/>
        <v>2.6508897450009179E-2</v>
      </c>
      <c r="F179">
        <f t="shared" si="7"/>
        <v>1.82776801405975E-2</v>
      </c>
      <c r="G179">
        <f t="shared" si="8"/>
        <v>8.7815730925271673E-2</v>
      </c>
    </row>
    <row r="180" spans="1:7" ht="18" x14ac:dyDescent="0.2">
      <c r="A180" s="1">
        <v>45828</v>
      </c>
      <c r="B180" s="2">
        <v>111.91</v>
      </c>
      <c r="C180" s="2">
        <v>144.85</v>
      </c>
      <c r="D180" s="2">
        <v>83.12</v>
      </c>
      <c r="E180">
        <f t="shared" si="6"/>
        <v>-1.313555535698328E-2</v>
      </c>
      <c r="F180">
        <f t="shared" si="7"/>
        <v>-9.0438384535726779E-3</v>
      </c>
      <c r="G180">
        <f t="shared" si="8"/>
        <v>-1.0226179018286916E-2</v>
      </c>
    </row>
    <row r="181" spans="1:7" ht="18" x14ac:dyDescent="0.2">
      <c r="A181" s="1">
        <v>45826</v>
      </c>
      <c r="B181" s="2">
        <v>110.44</v>
      </c>
      <c r="C181" s="2">
        <v>143.54</v>
      </c>
      <c r="D181" s="2">
        <v>82.27</v>
      </c>
      <c r="E181">
        <f t="shared" si="6"/>
        <v>7.1532053603767321E-3</v>
      </c>
      <c r="F181">
        <f t="shared" si="7"/>
        <v>4.3890204820955514E-3</v>
      </c>
      <c r="G181">
        <f t="shared" si="8"/>
        <v>3.6465297192173502E-4</v>
      </c>
    </row>
    <row r="182" spans="1:7" ht="18" x14ac:dyDescent="0.2">
      <c r="A182" s="1">
        <v>45825</v>
      </c>
      <c r="B182" s="2">
        <v>111.23</v>
      </c>
      <c r="C182" s="2">
        <v>144.16999999999999</v>
      </c>
      <c r="D182" s="2">
        <v>82.3</v>
      </c>
      <c r="E182">
        <f t="shared" si="6"/>
        <v>-1.3305762833767904E-2</v>
      </c>
      <c r="F182">
        <f t="shared" si="7"/>
        <v>-1.8935978358881805E-2</v>
      </c>
      <c r="G182">
        <f t="shared" si="8"/>
        <v>-4.5078979343863838E-2</v>
      </c>
    </row>
    <row r="183" spans="1:7" ht="18" x14ac:dyDescent="0.2">
      <c r="A183" s="1">
        <v>45824</v>
      </c>
      <c r="B183" s="2">
        <v>109.75</v>
      </c>
      <c r="C183" s="2">
        <v>141.44</v>
      </c>
      <c r="D183" s="2">
        <v>78.59</v>
      </c>
      <c r="E183">
        <f t="shared" si="6"/>
        <v>-3.2801822323462364E-3</v>
      </c>
      <c r="F183">
        <f t="shared" si="7"/>
        <v>-7.7771493212659237E-4</v>
      </c>
      <c r="G183">
        <f t="shared" si="8"/>
        <v>2.0740552233108479E-2</v>
      </c>
    </row>
    <row r="184" spans="1:7" ht="18" x14ac:dyDescent="0.2">
      <c r="A184" s="1">
        <v>45821</v>
      </c>
      <c r="B184" s="2">
        <v>109.39</v>
      </c>
      <c r="C184" s="2">
        <v>141.33000000000001</v>
      </c>
      <c r="D184" s="2">
        <v>80.22</v>
      </c>
      <c r="E184">
        <f t="shared" si="6"/>
        <v>-2.1299936008775923E-2</v>
      </c>
      <c r="F184">
        <f t="shared" si="7"/>
        <v>-6.4388311045073584E-3</v>
      </c>
      <c r="G184">
        <f t="shared" si="8"/>
        <v>-6.4447768636250333E-2</v>
      </c>
    </row>
    <row r="185" spans="1:7" ht="18" x14ac:dyDescent="0.2">
      <c r="A185" s="1">
        <v>45820</v>
      </c>
      <c r="B185" s="2">
        <v>107.06</v>
      </c>
      <c r="C185" s="2">
        <v>140.41999999999999</v>
      </c>
      <c r="D185" s="2">
        <v>75.05</v>
      </c>
      <c r="E185">
        <f t="shared" si="6"/>
        <v>-3.8296282458434201E-3</v>
      </c>
      <c r="F185">
        <f t="shared" si="7"/>
        <v>-1.3530836063238695E-3</v>
      </c>
      <c r="G185">
        <f t="shared" si="8"/>
        <v>-3.0646235842772015E-3</v>
      </c>
    </row>
    <row r="186" spans="1:7" ht="18" x14ac:dyDescent="0.2">
      <c r="A186" s="1">
        <v>45819</v>
      </c>
      <c r="B186" s="2">
        <v>106.65</v>
      </c>
      <c r="C186" s="2">
        <v>140.22999999999999</v>
      </c>
      <c r="D186" s="2">
        <v>74.819999999999993</v>
      </c>
      <c r="E186">
        <f t="shared" si="6"/>
        <v>-1.912798874824197E-2</v>
      </c>
      <c r="F186">
        <f t="shared" si="7"/>
        <v>-9.8409755401839515E-3</v>
      </c>
      <c r="G186">
        <f t="shared" si="8"/>
        <v>-4.3036621224271571E-2</v>
      </c>
    </row>
    <row r="187" spans="1:7" ht="18" x14ac:dyDescent="0.2">
      <c r="A187" s="1">
        <v>45818</v>
      </c>
      <c r="B187" s="2">
        <v>104.61</v>
      </c>
      <c r="C187" s="2">
        <v>138.85</v>
      </c>
      <c r="D187" s="2">
        <v>71.599999999999994</v>
      </c>
      <c r="E187">
        <f t="shared" si="6"/>
        <v>-2.0934901061084005E-2</v>
      </c>
      <c r="F187">
        <f t="shared" si="7"/>
        <v>-1.8077061577241562E-2</v>
      </c>
      <c r="G187">
        <f t="shared" si="8"/>
        <v>6.2849162011173586E-3</v>
      </c>
    </row>
    <row r="188" spans="1:7" ht="18" x14ac:dyDescent="0.2">
      <c r="A188" s="1">
        <v>45817</v>
      </c>
      <c r="B188" s="2">
        <v>102.42</v>
      </c>
      <c r="C188" s="2">
        <v>136.34</v>
      </c>
      <c r="D188" s="2">
        <v>72.05</v>
      </c>
      <c r="E188">
        <f t="shared" si="6"/>
        <v>-6.7369654364381731E-3</v>
      </c>
      <c r="F188">
        <f t="shared" si="7"/>
        <v>-3.8873404723485487E-3</v>
      </c>
      <c r="G188">
        <f t="shared" si="8"/>
        <v>-9.2990978487161938E-3</v>
      </c>
    </row>
    <row r="189" spans="1:7" ht="18" x14ac:dyDescent="0.2">
      <c r="A189" s="1">
        <v>45814</v>
      </c>
      <c r="B189" s="2">
        <v>101.73</v>
      </c>
      <c r="C189" s="2">
        <v>135.81</v>
      </c>
      <c r="D189" s="2">
        <v>71.38</v>
      </c>
      <c r="E189">
        <f t="shared" si="6"/>
        <v>-2.3395261967954484E-2</v>
      </c>
      <c r="F189">
        <f t="shared" si="7"/>
        <v>-2.3635962005743374E-2</v>
      </c>
      <c r="G189">
        <f t="shared" si="8"/>
        <v>-2.0313813393107154E-2</v>
      </c>
    </row>
    <row r="190" spans="1:7" ht="18" x14ac:dyDescent="0.2">
      <c r="A190" s="1">
        <v>45813</v>
      </c>
      <c r="B190" s="2">
        <v>99.35</v>
      </c>
      <c r="C190" s="2">
        <v>132.6</v>
      </c>
      <c r="D190" s="2">
        <v>69.930000000000007</v>
      </c>
      <c r="E190">
        <f t="shared" si="6"/>
        <v>4.6300956215400901E-3</v>
      </c>
      <c r="F190">
        <f t="shared" si="7"/>
        <v>3.4690799396682351E-3</v>
      </c>
      <c r="G190">
        <f t="shared" si="8"/>
        <v>-8.4370084370084843E-3</v>
      </c>
    </row>
    <row r="191" spans="1:7" ht="18" x14ac:dyDescent="0.2">
      <c r="A191" s="1">
        <v>45812</v>
      </c>
      <c r="B191" s="2">
        <v>99.81</v>
      </c>
      <c r="C191" s="2">
        <v>133.06</v>
      </c>
      <c r="D191" s="2">
        <v>69.34</v>
      </c>
      <c r="E191">
        <f t="shared" si="6"/>
        <v>1.4727983168019225E-2</v>
      </c>
      <c r="F191">
        <f t="shared" si="7"/>
        <v>1.5857507891176802E-2</v>
      </c>
      <c r="G191">
        <f t="shared" si="8"/>
        <v>7.9319296221516747E-3</v>
      </c>
    </row>
    <row r="192" spans="1:7" ht="18" x14ac:dyDescent="0.2">
      <c r="A192" s="1">
        <v>45811</v>
      </c>
      <c r="B192" s="2">
        <v>101.28</v>
      </c>
      <c r="C192" s="2">
        <v>135.16999999999999</v>
      </c>
      <c r="D192" s="2">
        <v>69.89</v>
      </c>
      <c r="E192">
        <f t="shared" si="6"/>
        <v>-7.3064770932069001E-3</v>
      </c>
      <c r="F192">
        <f t="shared" si="7"/>
        <v>-1.2280831545461246E-2</v>
      </c>
      <c r="G192">
        <f t="shared" si="8"/>
        <v>-4.8647875232508712E-3</v>
      </c>
    </row>
    <row r="193" spans="1:7" ht="18" x14ac:dyDescent="0.2">
      <c r="A193" s="1">
        <v>45810</v>
      </c>
      <c r="B193" s="2">
        <v>100.54</v>
      </c>
      <c r="C193" s="2">
        <v>133.51</v>
      </c>
      <c r="D193" s="2">
        <v>69.55</v>
      </c>
      <c r="E193">
        <f t="shared" si="6"/>
        <v>-7.2607917246867307E-3</v>
      </c>
      <c r="F193">
        <f t="shared" si="7"/>
        <v>-8.2390832147404263E-3</v>
      </c>
      <c r="G193">
        <f t="shared" si="8"/>
        <v>-3.4507548526239995E-2</v>
      </c>
    </row>
    <row r="194" spans="1:7" ht="18" x14ac:dyDescent="0.2">
      <c r="A194" s="1">
        <v>45807</v>
      </c>
      <c r="B194" s="2">
        <v>99.81</v>
      </c>
      <c r="C194" s="2">
        <v>132.41</v>
      </c>
      <c r="D194" s="2">
        <v>67.150000000000006</v>
      </c>
      <c r="E194">
        <f t="shared" si="6"/>
        <v>3.8072337441137707E-3</v>
      </c>
      <c r="F194">
        <f t="shared" si="7"/>
        <v>8.8361906200439232E-3</v>
      </c>
      <c r="G194">
        <f t="shared" si="8"/>
        <v>5.9568131049876454E-4</v>
      </c>
    </row>
    <row r="195" spans="1:7" ht="18" x14ac:dyDescent="0.2">
      <c r="A195" s="1">
        <v>45806</v>
      </c>
      <c r="B195" s="2">
        <v>100.19</v>
      </c>
      <c r="C195" s="2">
        <v>133.58000000000001</v>
      </c>
      <c r="D195" s="2">
        <v>67.19</v>
      </c>
      <c r="E195">
        <f t="shared" ref="E195:E253" si="9">(B196-B195)/B195</f>
        <v>-5.5893801776624643E-3</v>
      </c>
      <c r="F195">
        <f t="shared" ref="F195:F253" si="10">(C196-C195)/C195</f>
        <v>-1.369965563707151E-2</v>
      </c>
      <c r="G195">
        <f t="shared" ref="G195:G252" si="11">(D196-D195)/D195</f>
        <v>1.0418216996576914E-2</v>
      </c>
    </row>
    <row r="196" spans="1:7" ht="18" x14ac:dyDescent="0.2">
      <c r="A196" s="1">
        <v>45805</v>
      </c>
      <c r="B196" s="2">
        <v>99.63</v>
      </c>
      <c r="C196" s="2">
        <v>131.75</v>
      </c>
      <c r="D196" s="2">
        <v>67.89</v>
      </c>
      <c r="E196">
        <f t="shared" si="9"/>
        <v>1.3750878249523282E-2</v>
      </c>
      <c r="F196">
        <f t="shared" si="10"/>
        <v>1.3282732447817837E-2</v>
      </c>
      <c r="G196">
        <f t="shared" si="11"/>
        <v>-8.9851229930770285E-3</v>
      </c>
    </row>
    <row r="197" spans="1:7" ht="18" x14ac:dyDescent="0.2">
      <c r="A197" s="1">
        <v>45804</v>
      </c>
      <c r="B197" s="2">
        <v>101</v>
      </c>
      <c r="C197" s="2">
        <v>133.5</v>
      </c>
      <c r="D197" s="2">
        <v>67.28</v>
      </c>
      <c r="E197">
        <f t="shared" si="9"/>
        <v>-4.7524752475247923E-3</v>
      </c>
      <c r="F197">
        <f t="shared" si="10"/>
        <v>-9.3632958801498131E-3</v>
      </c>
      <c r="G197">
        <f t="shared" si="11"/>
        <v>1.0552913198573034E-2</v>
      </c>
    </row>
    <row r="198" spans="1:7" ht="18" x14ac:dyDescent="0.2">
      <c r="A198" s="1">
        <v>45800</v>
      </c>
      <c r="B198" s="2">
        <v>100.52</v>
      </c>
      <c r="C198" s="2">
        <v>132.25</v>
      </c>
      <c r="D198" s="2">
        <v>67.989999999999995</v>
      </c>
      <c r="E198">
        <f t="shared" si="9"/>
        <v>-4.9741345005966135E-4</v>
      </c>
      <c r="F198">
        <f t="shared" si="10"/>
        <v>-9.1493383742911761E-3</v>
      </c>
      <c r="G198">
        <f t="shared" si="11"/>
        <v>-1.2501838505662515E-2</v>
      </c>
    </row>
    <row r="199" spans="1:7" ht="18" x14ac:dyDescent="0.2">
      <c r="A199" s="1">
        <v>45799</v>
      </c>
      <c r="B199" s="2">
        <v>100.47</v>
      </c>
      <c r="C199" s="2">
        <v>131.04</v>
      </c>
      <c r="D199" s="2">
        <v>67.14</v>
      </c>
      <c r="E199">
        <f t="shared" si="9"/>
        <v>6.6686573106400091E-3</v>
      </c>
      <c r="F199">
        <f t="shared" si="10"/>
        <v>1.9841269841271319E-3</v>
      </c>
      <c r="G199">
        <f t="shared" si="11"/>
        <v>6.7024128686327504E-3</v>
      </c>
    </row>
    <row r="200" spans="1:7" ht="18" x14ac:dyDescent="0.2">
      <c r="A200" s="1">
        <v>45798</v>
      </c>
      <c r="B200" s="2">
        <v>101.14</v>
      </c>
      <c r="C200" s="2">
        <v>131.30000000000001</v>
      </c>
      <c r="D200" s="2">
        <v>67.59</v>
      </c>
      <c r="E200">
        <f t="shared" si="9"/>
        <v>1.2457979038955954E-2</v>
      </c>
      <c r="F200">
        <f t="shared" si="10"/>
        <v>1.2642802741812616E-2</v>
      </c>
      <c r="G200">
        <f t="shared" si="11"/>
        <v>1.5830744192927845E-2</v>
      </c>
    </row>
    <row r="201" spans="1:7" ht="18" x14ac:dyDescent="0.2">
      <c r="A201" s="1">
        <v>45797</v>
      </c>
      <c r="B201" s="2">
        <v>102.4</v>
      </c>
      <c r="C201" s="2">
        <v>132.96</v>
      </c>
      <c r="D201" s="2">
        <v>68.66</v>
      </c>
      <c r="E201">
        <f t="shared" si="9"/>
        <v>1.44531249999999E-2</v>
      </c>
      <c r="F201">
        <f t="shared" si="10"/>
        <v>8.8748495788205355E-3</v>
      </c>
      <c r="G201">
        <f t="shared" si="11"/>
        <v>-2.1846781240895934E-3</v>
      </c>
    </row>
    <row r="202" spans="1:7" ht="18" x14ac:dyDescent="0.2">
      <c r="A202" s="1">
        <v>45796</v>
      </c>
      <c r="B202" s="2">
        <v>103.88</v>
      </c>
      <c r="C202" s="2">
        <v>134.13999999999999</v>
      </c>
      <c r="D202" s="2">
        <v>68.510000000000005</v>
      </c>
      <c r="E202">
        <f t="shared" si="9"/>
        <v>1.6172506738544541E-2</v>
      </c>
      <c r="F202">
        <f t="shared" si="10"/>
        <v>1.3717012076934572E-2</v>
      </c>
      <c r="G202">
        <f t="shared" si="11"/>
        <v>-5.9845278061598419E-3</v>
      </c>
    </row>
    <row r="203" spans="1:7" ht="18" x14ac:dyDescent="0.2">
      <c r="A203" s="1">
        <v>45793</v>
      </c>
      <c r="B203" s="2">
        <v>105.56</v>
      </c>
      <c r="C203" s="2">
        <v>135.97999999999999</v>
      </c>
      <c r="D203" s="2">
        <v>68.099999999999994</v>
      </c>
      <c r="E203">
        <f t="shared" si="9"/>
        <v>3.5998484274345913E-3</v>
      </c>
      <c r="F203">
        <f t="shared" si="10"/>
        <v>1.1031033975585063E-3</v>
      </c>
      <c r="G203">
        <f t="shared" si="11"/>
        <v>-7.488986784140836E-3</v>
      </c>
    </row>
    <row r="204" spans="1:7" ht="18" x14ac:dyDescent="0.2">
      <c r="A204" s="1">
        <v>45792</v>
      </c>
      <c r="B204" s="2">
        <v>105.94</v>
      </c>
      <c r="C204" s="2">
        <v>136.13</v>
      </c>
      <c r="D204" s="2">
        <v>67.59</v>
      </c>
      <c r="E204">
        <f t="shared" si="9"/>
        <v>-1.0005663583160301E-2</v>
      </c>
      <c r="F204">
        <f t="shared" si="10"/>
        <v>-4.1137148314111683E-3</v>
      </c>
      <c r="G204">
        <f t="shared" si="11"/>
        <v>1.686640035508212E-2</v>
      </c>
    </row>
    <row r="205" spans="1:7" ht="18" x14ac:dyDescent="0.2">
      <c r="A205" s="1">
        <v>45791</v>
      </c>
      <c r="B205" s="2">
        <v>104.88</v>
      </c>
      <c r="C205" s="2">
        <v>135.57</v>
      </c>
      <c r="D205" s="2">
        <v>68.73</v>
      </c>
      <c r="E205">
        <f t="shared" si="9"/>
        <v>8.9626239511822817E-3</v>
      </c>
      <c r="F205">
        <f t="shared" si="10"/>
        <v>4.79457107029583E-3</v>
      </c>
      <c r="G205">
        <f t="shared" si="11"/>
        <v>1.2512730976284001E-2</v>
      </c>
    </row>
    <row r="206" spans="1:7" ht="18" x14ac:dyDescent="0.2">
      <c r="A206" s="1">
        <v>45790</v>
      </c>
      <c r="B206" s="2">
        <v>105.82</v>
      </c>
      <c r="C206" s="2">
        <v>136.22</v>
      </c>
      <c r="D206" s="2">
        <v>69.59</v>
      </c>
      <c r="E206">
        <f t="shared" si="9"/>
        <v>-2.7405027405026654E-3</v>
      </c>
      <c r="F206">
        <f t="shared" si="10"/>
        <v>-5.1387461459403072E-3</v>
      </c>
      <c r="G206">
        <f t="shared" si="11"/>
        <v>-2.8596062652680113E-2</v>
      </c>
    </row>
    <row r="207" spans="1:7" ht="18" x14ac:dyDescent="0.2">
      <c r="A207" s="1">
        <v>45789</v>
      </c>
      <c r="B207" s="2">
        <v>105.53</v>
      </c>
      <c r="C207" s="2">
        <v>135.52000000000001</v>
      </c>
      <c r="D207" s="2">
        <v>67.599999999999994</v>
      </c>
      <c r="E207">
        <f t="shared" si="9"/>
        <v>-1.6867241542689294E-2</v>
      </c>
      <c r="F207">
        <f t="shared" si="10"/>
        <v>-2.2063164108618718E-2</v>
      </c>
      <c r="G207">
        <f t="shared" si="11"/>
        <v>-1.4644970414201109E-2</v>
      </c>
    </row>
    <row r="208" spans="1:7" ht="18" x14ac:dyDescent="0.2">
      <c r="A208" s="1">
        <v>45786</v>
      </c>
      <c r="B208" s="2">
        <v>103.75</v>
      </c>
      <c r="C208" s="2">
        <v>132.53</v>
      </c>
      <c r="D208" s="2">
        <v>66.61</v>
      </c>
      <c r="E208">
        <f t="shared" si="9"/>
        <v>-1.1566265060240992E-2</v>
      </c>
      <c r="F208">
        <f t="shared" si="10"/>
        <v>-1.0488191352901341E-2</v>
      </c>
      <c r="G208">
        <f t="shared" si="11"/>
        <v>-1.5162888455186986E-2</v>
      </c>
    </row>
    <row r="209" spans="1:7" ht="18" x14ac:dyDescent="0.2">
      <c r="A209" s="1">
        <v>45785</v>
      </c>
      <c r="B209" s="2">
        <v>102.55</v>
      </c>
      <c r="C209" s="2">
        <v>131.13999999999999</v>
      </c>
      <c r="D209" s="2">
        <v>65.599999999999994</v>
      </c>
      <c r="E209">
        <f t="shared" si="9"/>
        <v>-1.3749390541199382E-2</v>
      </c>
      <c r="F209">
        <f t="shared" si="10"/>
        <v>-9.1505261552538419E-3</v>
      </c>
      <c r="G209">
        <f t="shared" si="11"/>
        <v>-3.1859756097560921E-2</v>
      </c>
    </row>
    <row r="210" spans="1:7" ht="18" x14ac:dyDescent="0.2">
      <c r="A210" s="1">
        <v>45784</v>
      </c>
      <c r="B210" s="2">
        <v>101.14</v>
      </c>
      <c r="C210" s="2">
        <v>129.94</v>
      </c>
      <c r="D210" s="2">
        <v>63.51</v>
      </c>
      <c r="E210">
        <f t="shared" si="9"/>
        <v>8.8985564563974105E-4</v>
      </c>
      <c r="F210">
        <f t="shared" si="10"/>
        <v>-1.3852547329537234E-3</v>
      </c>
      <c r="G210">
        <f t="shared" si="11"/>
        <v>1.7162651550936804E-2</v>
      </c>
    </row>
    <row r="211" spans="1:7" ht="18" x14ac:dyDescent="0.2">
      <c r="A211" s="1">
        <v>45783</v>
      </c>
      <c r="B211" s="2">
        <v>101.23</v>
      </c>
      <c r="C211" s="2">
        <v>129.76</v>
      </c>
      <c r="D211" s="2">
        <v>64.599999999999994</v>
      </c>
      <c r="E211">
        <f t="shared" si="9"/>
        <v>-1.373110737923541E-2</v>
      </c>
      <c r="F211">
        <f t="shared" si="10"/>
        <v>-7.7065351417998087E-4</v>
      </c>
      <c r="G211">
        <f t="shared" si="11"/>
        <v>-3.4520123839009244E-2</v>
      </c>
    </row>
    <row r="212" spans="1:7" ht="18" x14ac:dyDescent="0.2">
      <c r="A212" s="1">
        <v>45782</v>
      </c>
      <c r="B212" s="2">
        <v>99.84</v>
      </c>
      <c r="C212" s="2">
        <v>129.66</v>
      </c>
      <c r="D212" s="2">
        <v>62.37</v>
      </c>
      <c r="E212">
        <f t="shared" si="9"/>
        <v>2.8445512820512855E-2</v>
      </c>
      <c r="F212">
        <f t="shared" si="10"/>
        <v>2.2211938917167943E-2</v>
      </c>
      <c r="G212">
        <f t="shared" si="11"/>
        <v>2.6294692961359754E-2</v>
      </c>
    </row>
    <row r="213" spans="1:7" ht="18" x14ac:dyDescent="0.2">
      <c r="A213" s="1">
        <v>45779</v>
      </c>
      <c r="B213" s="2">
        <v>102.68</v>
      </c>
      <c r="C213" s="2">
        <v>132.54</v>
      </c>
      <c r="D213" s="2">
        <v>64.010000000000005</v>
      </c>
      <c r="E213">
        <f t="shared" si="9"/>
        <v>-3.992987923646385E-3</v>
      </c>
      <c r="F213">
        <f t="shared" si="10"/>
        <v>-1.6221518032292184E-2</v>
      </c>
      <c r="G213">
        <f t="shared" si="11"/>
        <v>7.9675050773315246E-3</v>
      </c>
    </row>
    <row r="214" spans="1:7" ht="18" x14ac:dyDescent="0.2">
      <c r="A214" s="1">
        <v>45778</v>
      </c>
      <c r="B214" s="2">
        <v>102.27</v>
      </c>
      <c r="C214" s="2">
        <v>130.38999999999999</v>
      </c>
      <c r="D214" s="2">
        <v>64.52</v>
      </c>
      <c r="E214">
        <f t="shared" si="9"/>
        <v>-1.4667057788206852E-3</v>
      </c>
      <c r="F214">
        <f t="shared" si="10"/>
        <v>-1.4571669606564747E-3</v>
      </c>
      <c r="G214">
        <f t="shared" si="11"/>
        <v>-1.4879107253564691E-2</v>
      </c>
    </row>
    <row r="215" spans="1:7" ht="18" x14ac:dyDescent="0.2">
      <c r="A215" s="1">
        <v>45777</v>
      </c>
      <c r="B215" s="2">
        <v>102.12</v>
      </c>
      <c r="C215" s="2">
        <v>130.19999999999999</v>
      </c>
      <c r="D215" s="2">
        <v>63.56</v>
      </c>
      <c r="E215">
        <f t="shared" si="9"/>
        <v>2.5851938895417162E-2</v>
      </c>
      <c r="F215">
        <f t="shared" si="10"/>
        <v>2.3809523809523985E-2</v>
      </c>
      <c r="G215">
        <f t="shared" si="11"/>
        <v>3.6028949024543615E-2</v>
      </c>
    </row>
    <row r="216" spans="1:7" ht="18" x14ac:dyDescent="0.2">
      <c r="A216" s="1">
        <v>45776</v>
      </c>
      <c r="B216" s="2">
        <v>104.76</v>
      </c>
      <c r="C216" s="2">
        <v>133.30000000000001</v>
      </c>
      <c r="D216" s="2">
        <v>65.849999999999994</v>
      </c>
      <c r="E216">
        <f t="shared" si="9"/>
        <v>2.4818633066054879E-3</v>
      </c>
      <c r="F216">
        <f t="shared" si="10"/>
        <v>5.7764441110276198E-3</v>
      </c>
      <c r="G216">
        <f t="shared" si="11"/>
        <v>2.9005315110098875E-2</v>
      </c>
    </row>
    <row r="217" spans="1:7" ht="18" x14ac:dyDescent="0.2">
      <c r="A217" s="1">
        <v>45775</v>
      </c>
      <c r="B217" s="2">
        <v>105.02</v>
      </c>
      <c r="C217" s="2">
        <v>134.07</v>
      </c>
      <c r="D217" s="2">
        <v>67.760000000000005</v>
      </c>
      <c r="E217">
        <f t="shared" si="9"/>
        <v>-5.7131974861933225E-4</v>
      </c>
      <c r="F217">
        <f t="shared" si="10"/>
        <v>-9.7710151413440919E-3</v>
      </c>
      <c r="G217">
        <f t="shared" si="11"/>
        <v>1.8742621015348227E-2</v>
      </c>
    </row>
    <row r="218" spans="1:7" ht="18" x14ac:dyDescent="0.2">
      <c r="A218" s="1">
        <v>45772</v>
      </c>
      <c r="B218" s="2">
        <v>104.96</v>
      </c>
      <c r="C218" s="2">
        <v>132.76</v>
      </c>
      <c r="D218" s="2">
        <v>69.03</v>
      </c>
      <c r="E218">
        <f t="shared" si="9"/>
        <v>5.7164634146343628E-4</v>
      </c>
      <c r="F218">
        <f t="shared" si="10"/>
        <v>2.4103645676410187E-3</v>
      </c>
      <c r="G218">
        <f t="shared" si="11"/>
        <v>-8.2572794437202283E-3</v>
      </c>
    </row>
    <row r="219" spans="1:7" ht="18" x14ac:dyDescent="0.2">
      <c r="A219" s="1">
        <v>45771</v>
      </c>
      <c r="B219" s="2">
        <v>105.02</v>
      </c>
      <c r="C219" s="2">
        <v>133.08000000000001</v>
      </c>
      <c r="D219" s="2">
        <v>68.459999999999994</v>
      </c>
      <c r="E219">
        <f t="shared" si="9"/>
        <v>-1.1616834888592638E-2</v>
      </c>
      <c r="F219">
        <f t="shared" si="10"/>
        <v>-1.7207694619777728E-2</v>
      </c>
      <c r="G219">
        <f t="shared" si="11"/>
        <v>-5.9888986269353876E-3</v>
      </c>
    </row>
    <row r="220" spans="1:7" ht="18" x14ac:dyDescent="0.2">
      <c r="A220" s="1">
        <v>45770</v>
      </c>
      <c r="B220" s="2">
        <v>103.8</v>
      </c>
      <c r="C220" s="2">
        <v>130.79</v>
      </c>
      <c r="D220" s="2">
        <v>68.05</v>
      </c>
      <c r="E220">
        <f t="shared" si="9"/>
        <v>8.6705202312139275E-3</v>
      </c>
      <c r="F220">
        <f t="shared" si="10"/>
        <v>4.58750669011388E-3</v>
      </c>
      <c r="G220">
        <f t="shared" si="11"/>
        <v>1.9397501836884753E-2</v>
      </c>
    </row>
    <row r="221" spans="1:7" ht="18" x14ac:dyDescent="0.2">
      <c r="A221" s="1">
        <v>45769</v>
      </c>
      <c r="B221" s="2">
        <v>104.7</v>
      </c>
      <c r="C221" s="2">
        <v>131.38999999999999</v>
      </c>
      <c r="D221" s="2">
        <v>69.37</v>
      </c>
      <c r="E221">
        <f t="shared" si="9"/>
        <v>-2.7220630372492918E-2</v>
      </c>
      <c r="F221">
        <f t="shared" si="10"/>
        <v>-2.6029378187076551E-2</v>
      </c>
      <c r="G221">
        <f t="shared" si="11"/>
        <v>-1.081159002450627E-2</v>
      </c>
    </row>
    <row r="222" spans="1:7" ht="18" x14ac:dyDescent="0.2">
      <c r="A222" s="1">
        <v>45768</v>
      </c>
      <c r="B222" s="2">
        <v>101.85</v>
      </c>
      <c r="C222" s="2">
        <v>127.97</v>
      </c>
      <c r="D222" s="2">
        <v>68.62</v>
      </c>
      <c r="E222">
        <f t="shared" si="9"/>
        <v>1.4923907707412963E-2</v>
      </c>
      <c r="F222">
        <f t="shared" si="10"/>
        <v>3.0944752676408595E-2</v>
      </c>
      <c r="G222">
        <f t="shared" si="11"/>
        <v>1.2532789274264053E-2</v>
      </c>
    </row>
    <row r="223" spans="1:7" ht="18" x14ac:dyDescent="0.2">
      <c r="A223" s="1">
        <v>45764</v>
      </c>
      <c r="B223" s="2">
        <v>103.37</v>
      </c>
      <c r="C223" s="2">
        <v>131.93</v>
      </c>
      <c r="D223" s="2">
        <v>69.48</v>
      </c>
      <c r="E223">
        <f t="shared" si="9"/>
        <v>-2.553932475573184E-2</v>
      </c>
      <c r="F223">
        <f t="shared" si="10"/>
        <v>-1.8191465170924018E-2</v>
      </c>
      <c r="G223">
        <f t="shared" si="11"/>
        <v>-2.4899251583189463E-2</v>
      </c>
    </row>
    <row r="224" spans="1:7" ht="18" x14ac:dyDescent="0.2">
      <c r="A224" s="1">
        <v>45763</v>
      </c>
      <c r="B224" s="2">
        <v>100.73</v>
      </c>
      <c r="C224" s="2">
        <v>129.53</v>
      </c>
      <c r="D224" s="2">
        <v>67.75</v>
      </c>
      <c r="E224">
        <f t="shared" si="9"/>
        <v>-1.0423905489923529E-2</v>
      </c>
      <c r="F224">
        <f t="shared" si="10"/>
        <v>-6.0217710182969286E-3</v>
      </c>
      <c r="G224">
        <f t="shared" si="11"/>
        <v>-1.8745387453874478E-2</v>
      </c>
    </row>
    <row r="225" spans="1:7" ht="18" x14ac:dyDescent="0.2">
      <c r="A225" s="1">
        <v>45762</v>
      </c>
      <c r="B225" s="2">
        <v>99.68</v>
      </c>
      <c r="C225" s="2">
        <v>128.75</v>
      </c>
      <c r="D225" s="2">
        <v>66.48</v>
      </c>
      <c r="E225">
        <f t="shared" si="9"/>
        <v>2.8089887640448123E-3</v>
      </c>
      <c r="F225">
        <f t="shared" si="10"/>
        <v>5.7475728155340512E-3</v>
      </c>
      <c r="G225">
        <f t="shared" si="11"/>
        <v>2.707581227436712E-3</v>
      </c>
    </row>
    <row r="226" spans="1:7" ht="18" x14ac:dyDescent="0.2">
      <c r="A226" s="1">
        <v>45761</v>
      </c>
      <c r="B226" s="2">
        <v>99.96</v>
      </c>
      <c r="C226" s="2">
        <v>129.49</v>
      </c>
      <c r="D226" s="2">
        <v>66.66</v>
      </c>
      <c r="E226">
        <f t="shared" si="9"/>
        <v>-2.5010004001600641E-3</v>
      </c>
      <c r="F226">
        <f t="shared" si="10"/>
        <v>2.3167812186267889E-3</v>
      </c>
      <c r="G226">
        <f t="shared" si="11"/>
        <v>-3.000300030003043E-3</v>
      </c>
    </row>
    <row r="227" spans="1:7" ht="18" x14ac:dyDescent="0.2">
      <c r="A227" s="1">
        <v>45758</v>
      </c>
      <c r="B227" s="2">
        <v>99.71</v>
      </c>
      <c r="C227" s="2">
        <v>129.79</v>
      </c>
      <c r="D227" s="2">
        <v>66.459999999999994</v>
      </c>
      <c r="E227">
        <f t="shared" si="9"/>
        <v>-3.1090161468257892E-2</v>
      </c>
      <c r="F227">
        <f t="shared" si="10"/>
        <v>-4.7769473765313548E-3</v>
      </c>
      <c r="G227">
        <f t="shared" si="11"/>
        <v>-1.7153174842010243E-2</v>
      </c>
    </row>
    <row r="228" spans="1:7" ht="18" x14ac:dyDescent="0.2">
      <c r="A228" s="1">
        <v>45757</v>
      </c>
      <c r="B228" s="2">
        <v>96.61</v>
      </c>
      <c r="C228" s="2">
        <v>129.16999999999999</v>
      </c>
      <c r="D228" s="2">
        <v>65.319999999999993</v>
      </c>
      <c r="E228">
        <f t="shared" si="9"/>
        <v>5.8793085601904639E-2</v>
      </c>
      <c r="F228">
        <f t="shared" si="10"/>
        <v>8.183014631880485E-2</v>
      </c>
      <c r="G228">
        <f t="shared" si="11"/>
        <v>3.4598897734231561E-2</v>
      </c>
    </row>
    <row r="229" spans="1:7" ht="18" x14ac:dyDescent="0.2">
      <c r="A229" s="1">
        <v>45756</v>
      </c>
      <c r="B229" s="2">
        <v>102.29</v>
      </c>
      <c r="C229" s="2">
        <v>139.74</v>
      </c>
      <c r="D229" s="2">
        <v>67.58</v>
      </c>
      <c r="E229">
        <f t="shared" si="9"/>
        <v>-4.7609737022191852E-2</v>
      </c>
      <c r="F229">
        <f t="shared" si="10"/>
        <v>-6.2330041505653411E-2</v>
      </c>
      <c r="G229">
        <f t="shared" si="11"/>
        <v>-6.2740455756140789E-2</v>
      </c>
    </row>
    <row r="230" spans="1:7" ht="18" x14ac:dyDescent="0.2">
      <c r="A230" s="1">
        <v>45755</v>
      </c>
      <c r="B230" s="2">
        <v>97.42</v>
      </c>
      <c r="C230" s="2">
        <v>131.03</v>
      </c>
      <c r="D230" s="2">
        <v>63.34</v>
      </c>
      <c r="E230">
        <f t="shared" si="9"/>
        <v>2.1556148634777193E-2</v>
      </c>
      <c r="F230">
        <f t="shared" si="10"/>
        <v>2.3506067312829219E-2</v>
      </c>
      <c r="G230">
        <f t="shared" si="11"/>
        <v>4.1679823176507744E-2</v>
      </c>
    </row>
    <row r="231" spans="1:7" ht="18" x14ac:dyDescent="0.2">
      <c r="A231" s="1">
        <v>45754</v>
      </c>
      <c r="B231" s="2">
        <v>99.52</v>
      </c>
      <c r="C231" s="2">
        <v>134.11000000000001</v>
      </c>
      <c r="D231" s="2">
        <v>65.98</v>
      </c>
      <c r="E231">
        <f t="shared" si="9"/>
        <v>1.3565112540193013E-2</v>
      </c>
      <c r="F231">
        <f t="shared" si="10"/>
        <v>2.2369696517783907E-2</v>
      </c>
      <c r="G231">
        <f t="shared" si="11"/>
        <v>2.9402849348287324E-2</v>
      </c>
    </row>
    <row r="232" spans="1:7" ht="18" x14ac:dyDescent="0.2">
      <c r="A232" s="1">
        <v>45751</v>
      </c>
      <c r="B232" s="2">
        <v>100.87</v>
      </c>
      <c r="C232" s="2">
        <v>137.11000000000001</v>
      </c>
      <c r="D232" s="2">
        <v>67.92</v>
      </c>
      <c r="E232">
        <f t="shared" si="9"/>
        <v>7.7624665410924928E-2</v>
      </c>
      <c r="F232">
        <f t="shared" si="10"/>
        <v>8.9636058639048874E-2</v>
      </c>
      <c r="G232">
        <f t="shared" si="11"/>
        <v>6.3751472320376881E-2</v>
      </c>
    </row>
    <row r="233" spans="1:7" ht="18" x14ac:dyDescent="0.2">
      <c r="A233" s="1">
        <v>45750</v>
      </c>
      <c r="B233" s="2">
        <v>108.7</v>
      </c>
      <c r="C233" s="2">
        <v>149.4</v>
      </c>
      <c r="D233" s="2">
        <v>72.25</v>
      </c>
      <c r="E233">
        <f t="shared" si="9"/>
        <v>5.547378104875806E-2</v>
      </c>
      <c r="F233">
        <f t="shared" si="10"/>
        <v>6.6265060240963888E-2</v>
      </c>
      <c r="G233">
        <f t="shared" si="11"/>
        <v>7.5986159169550108E-2</v>
      </c>
    </row>
    <row r="234" spans="1:7" ht="18" x14ac:dyDescent="0.2">
      <c r="A234" s="1">
        <v>45749</v>
      </c>
      <c r="B234" s="2">
        <v>114.73</v>
      </c>
      <c r="C234" s="2">
        <v>159.30000000000001</v>
      </c>
      <c r="D234" s="2">
        <v>77.739999999999995</v>
      </c>
      <c r="E234">
        <f t="shared" si="9"/>
        <v>3.1378017955199112E-3</v>
      </c>
      <c r="F234">
        <f t="shared" si="10"/>
        <v>1.2241054613935898E-2</v>
      </c>
      <c r="G234">
        <f t="shared" si="11"/>
        <v>-8.4898379212760052E-3</v>
      </c>
    </row>
    <row r="235" spans="1:7" ht="18" x14ac:dyDescent="0.2">
      <c r="A235" s="1">
        <v>45748</v>
      </c>
      <c r="B235" s="2">
        <v>115.09</v>
      </c>
      <c r="C235" s="2">
        <v>161.25</v>
      </c>
      <c r="D235" s="2">
        <v>77.08</v>
      </c>
      <c r="E235">
        <f t="shared" si="9"/>
        <v>-9.5577374228863869E-4</v>
      </c>
      <c r="F235">
        <f t="shared" si="10"/>
        <v>-7.1937984496123816E-3</v>
      </c>
      <c r="G235">
        <f t="shared" si="11"/>
        <v>3.2433834976647639E-3</v>
      </c>
    </row>
    <row r="236" spans="1:7" ht="18" x14ac:dyDescent="0.2">
      <c r="A236" s="1">
        <v>45747</v>
      </c>
      <c r="B236" s="2">
        <v>114.98</v>
      </c>
      <c r="C236" s="2">
        <v>160.09</v>
      </c>
      <c r="D236" s="2">
        <v>77.33</v>
      </c>
      <c r="E236">
        <f t="shared" si="9"/>
        <v>-1.0088711080187952E-2</v>
      </c>
      <c r="F236">
        <f t="shared" si="10"/>
        <v>-7.1834593041414556E-3</v>
      </c>
      <c r="G236">
        <f t="shared" si="11"/>
        <v>-3.3104875210138399E-2</v>
      </c>
    </row>
    <row r="237" spans="1:7" ht="18" x14ac:dyDescent="0.2">
      <c r="A237" s="1">
        <v>45744</v>
      </c>
      <c r="B237" s="2">
        <v>113.82</v>
      </c>
      <c r="C237" s="2">
        <v>158.94</v>
      </c>
      <c r="D237" s="2">
        <v>74.77</v>
      </c>
      <c r="E237">
        <f t="shared" si="9"/>
        <v>1.3178703215604086E-3</v>
      </c>
      <c r="F237">
        <f t="shared" si="10"/>
        <v>3.3345916698125149E-3</v>
      </c>
      <c r="G237">
        <f t="shared" si="11"/>
        <v>9.4957870803799391E-3</v>
      </c>
    </row>
    <row r="238" spans="1:7" ht="18" x14ac:dyDescent="0.2">
      <c r="A238" s="1">
        <v>45743</v>
      </c>
      <c r="B238" s="2">
        <v>113.97</v>
      </c>
      <c r="C238" s="2">
        <v>159.47</v>
      </c>
      <c r="D238" s="2">
        <v>75.48</v>
      </c>
      <c r="E238">
        <f t="shared" si="9"/>
        <v>3.2464683688690405E-3</v>
      </c>
      <c r="F238">
        <f t="shared" si="10"/>
        <v>7.963880353671602E-3</v>
      </c>
      <c r="G238">
        <f t="shared" si="11"/>
        <v>-7.9491255961847205E-4</v>
      </c>
    </row>
    <row r="239" spans="1:7" ht="18" x14ac:dyDescent="0.2">
      <c r="A239" s="1">
        <v>45742</v>
      </c>
      <c r="B239" s="2">
        <v>114.34</v>
      </c>
      <c r="C239" s="2">
        <v>160.74</v>
      </c>
      <c r="D239" s="2">
        <v>75.42</v>
      </c>
      <c r="E239">
        <f t="shared" si="9"/>
        <v>-1.4168270071715974E-2</v>
      </c>
      <c r="F239">
        <f t="shared" si="10"/>
        <v>-1.2131392310563748E-2</v>
      </c>
      <c r="G239">
        <f t="shared" si="11"/>
        <v>-7.9554494828958967E-3</v>
      </c>
    </row>
    <row r="240" spans="1:7" ht="18" x14ac:dyDescent="0.2">
      <c r="A240" s="1">
        <v>45741</v>
      </c>
      <c r="B240" s="2">
        <v>112.72</v>
      </c>
      <c r="C240" s="2">
        <v>158.79</v>
      </c>
      <c r="D240" s="2">
        <v>74.819999999999993</v>
      </c>
      <c r="E240">
        <f t="shared" si="9"/>
        <v>-6.8310858765081263E-3</v>
      </c>
      <c r="F240">
        <f t="shared" si="10"/>
        <v>-5.5419106996661971E-3</v>
      </c>
      <c r="G240">
        <f t="shared" si="11"/>
        <v>8.0192461908583639E-4</v>
      </c>
    </row>
    <row r="241" spans="1:7" ht="18" x14ac:dyDescent="0.2">
      <c r="A241" s="1">
        <v>45740</v>
      </c>
      <c r="B241" s="2">
        <v>111.95</v>
      </c>
      <c r="C241" s="2">
        <v>157.91</v>
      </c>
      <c r="D241" s="2">
        <v>74.88</v>
      </c>
      <c r="E241">
        <f t="shared" si="9"/>
        <v>-2.590442161679377E-3</v>
      </c>
      <c r="F241">
        <f t="shared" si="10"/>
        <v>-1.5831802925717182E-3</v>
      </c>
      <c r="G241">
        <f t="shared" si="11"/>
        <v>-1.4556623931623788E-2</v>
      </c>
    </row>
    <row r="242" spans="1:7" ht="18" x14ac:dyDescent="0.2">
      <c r="A242" s="1">
        <v>45737</v>
      </c>
      <c r="B242" s="2">
        <v>111.66</v>
      </c>
      <c r="C242" s="2">
        <v>157.66</v>
      </c>
      <c r="D242" s="2">
        <v>73.790000000000006</v>
      </c>
      <c r="E242">
        <f t="shared" si="9"/>
        <v>3.4927458355722783E-3</v>
      </c>
      <c r="F242">
        <f t="shared" si="10"/>
        <v>6.3427629075167488E-5</v>
      </c>
      <c r="G242">
        <f t="shared" si="11"/>
        <v>-8.1311830871394865E-4</v>
      </c>
    </row>
    <row r="243" spans="1:7" ht="18" x14ac:dyDescent="0.2">
      <c r="A243" s="1">
        <v>45736</v>
      </c>
      <c r="B243" s="2">
        <v>112.05</v>
      </c>
      <c r="C243" s="2">
        <v>157.66999999999999</v>
      </c>
      <c r="D243" s="2">
        <v>73.73</v>
      </c>
      <c r="E243">
        <f t="shared" si="9"/>
        <v>-4.1945560017849076E-3</v>
      </c>
      <c r="F243">
        <f t="shared" si="10"/>
        <v>-4.3128052261050195E-3</v>
      </c>
      <c r="G243">
        <f t="shared" si="11"/>
        <v>-1.7767530177675333E-2</v>
      </c>
    </row>
    <row r="244" spans="1:7" ht="18" x14ac:dyDescent="0.2">
      <c r="A244" s="1">
        <v>45735</v>
      </c>
      <c r="B244" s="2">
        <v>111.58</v>
      </c>
      <c r="C244" s="2">
        <v>156.99</v>
      </c>
      <c r="D244" s="2">
        <v>72.42</v>
      </c>
      <c r="E244">
        <f t="shared" si="9"/>
        <v>-1.5325327119555421E-2</v>
      </c>
      <c r="F244">
        <f t="shared" si="10"/>
        <v>-1.981017899229259E-2</v>
      </c>
      <c r="G244">
        <f t="shared" si="11"/>
        <v>-2.8997514498758348E-3</v>
      </c>
    </row>
    <row r="245" spans="1:7" ht="18" x14ac:dyDescent="0.2">
      <c r="A245" s="1">
        <v>45734</v>
      </c>
      <c r="B245" s="2">
        <v>109.87</v>
      </c>
      <c r="C245" s="2">
        <v>153.88</v>
      </c>
      <c r="D245" s="2">
        <v>72.209999999999994</v>
      </c>
      <c r="E245">
        <f t="shared" si="9"/>
        <v>1.0011832165286196E-3</v>
      </c>
      <c r="F245">
        <f t="shared" si="10"/>
        <v>-1.2997140629061607E-2</v>
      </c>
      <c r="G245">
        <f t="shared" si="11"/>
        <v>6.9242487190139873E-3</v>
      </c>
    </row>
    <row r="246" spans="1:7" ht="18" x14ac:dyDescent="0.2">
      <c r="A246" s="1">
        <v>45733</v>
      </c>
      <c r="B246" s="2">
        <v>109.98</v>
      </c>
      <c r="C246" s="2">
        <v>151.88</v>
      </c>
      <c r="D246" s="2">
        <v>72.709999999999994</v>
      </c>
      <c r="E246">
        <f t="shared" si="9"/>
        <v>-1.6366612111292936E-2</v>
      </c>
      <c r="F246">
        <f t="shared" si="10"/>
        <v>-1.0666315512246541E-2</v>
      </c>
      <c r="G246">
        <f t="shared" si="11"/>
        <v>-5.9139045523310778E-3</v>
      </c>
    </row>
    <row r="247" spans="1:7" ht="18" x14ac:dyDescent="0.2">
      <c r="A247" s="1">
        <v>45730</v>
      </c>
      <c r="B247" s="2">
        <v>108.18</v>
      </c>
      <c r="C247" s="2">
        <v>150.26</v>
      </c>
      <c r="D247" s="2">
        <v>72.28</v>
      </c>
      <c r="E247">
        <f t="shared" si="9"/>
        <v>-2.8840820854132043E-2</v>
      </c>
      <c r="F247">
        <f t="shared" si="10"/>
        <v>-2.1762278716890602E-2</v>
      </c>
      <c r="G247">
        <f t="shared" si="11"/>
        <v>-9.1311566131709546E-3</v>
      </c>
    </row>
    <row r="248" spans="1:7" ht="18" x14ac:dyDescent="0.2">
      <c r="A248" s="1">
        <v>45729</v>
      </c>
      <c r="B248" s="2">
        <v>105.06</v>
      </c>
      <c r="C248" s="2">
        <v>146.99</v>
      </c>
      <c r="D248" s="2">
        <v>71.62</v>
      </c>
      <c r="E248">
        <f t="shared" si="9"/>
        <v>4.1880830001903456E-3</v>
      </c>
      <c r="F248">
        <f t="shared" si="10"/>
        <v>-6.0548336621539878E-3</v>
      </c>
      <c r="G248">
        <f t="shared" si="11"/>
        <v>1.647584473610713E-2</v>
      </c>
    </row>
    <row r="249" spans="1:7" ht="18" x14ac:dyDescent="0.2">
      <c r="A249" s="1">
        <v>45728</v>
      </c>
      <c r="B249" s="2">
        <v>105.5</v>
      </c>
      <c r="C249" s="2">
        <v>146.1</v>
      </c>
      <c r="D249" s="2">
        <v>72.8</v>
      </c>
      <c r="E249">
        <f t="shared" si="9"/>
        <v>2.8436018957347047E-4</v>
      </c>
      <c r="F249">
        <f t="shared" si="10"/>
        <v>9.1718001368925623E-3</v>
      </c>
      <c r="G249">
        <f t="shared" si="11"/>
        <v>-1.8543956043955968E-2</v>
      </c>
    </row>
    <row r="250" spans="1:7" ht="18" x14ac:dyDescent="0.2">
      <c r="A250" s="1">
        <v>45727</v>
      </c>
      <c r="B250" s="2">
        <v>105.53</v>
      </c>
      <c r="C250" s="2">
        <v>147.44</v>
      </c>
      <c r="D250" s="2">
        <v>71.45</v>
      </c>
      <c r="E250">
        <f t="shared" si="9"/>
        <v>2.4258504690609327E-2</v>
      </c>
      <c r="F250">
        <f t="shared" si="10"/>
        <v>2.2653282691264265E-2</v>
      </c>
      <c r="G250">
        <f t="shared" si="11"/>
        <v>-7.8376487053884152E-3</v>
      </c>
    </row>
    <row r="251" spans="1:7" ht="18" x14ac:dyDescent="0.2">
      <c r="A251" s="1">
        <v>45726</v>
      </c>
      <c r="B251" s="2">
        <v>108.09</v>
      </c>
      <c r="C251" s="2">
        <v>150.78</v>
      </c>
      <c r="D251" s="2">
        <v>70.89</v>
      </c>
      <c r="E251">
        <f t="shared" si="9"/>
        <v>-2.4886668516976573E-2</v>
      </c>
      <c r="F251">
        <f t="shared" si="10"/>
        <v>-7.7596498209310753E-3</v>
      </c>
      <c r="G251">
        <f t="shared" si="11"/>
        <v>1.6927634363097795E-2</v>
      </c>
    </row>
    <row r="252" spans="1:7" ht="18" x14ac:dyDescent="0.2">
      <c r="A252" s="1">
        <v>45723</v>
      </c>
      <c r="B252" s="2">
        <v>105.4</v>
      </c>
      <c r="C252" s="2">
        <v>149.61000000000001</v>
      </c>
      <c r="D252" s="2">
        <v>72.09</v>
      </c>
      <c r="E252">
        <f t="shared" si="9"/>
        <v>-1.2808349146110136E-2</v>
      </c>
      <c r="F252">
        <f t="shared" si="10"/>
        <v>-2.1723146848472694E-2</v>
      </c>
      <c r="G252">
        <f t="shared" si="11"/>
        <v>-1.3316687473990955E-2</v>
      </c>
    </row>
    <row r="253" spans="1:7" ht="18" x14ac:dyDescent="0.2">
      <c r="A253" s="1">
        <v>45722</v>
      </c>
      <c r="B253" s="2">
        <v>104.05</v>
      </c>
      <c r="C253" s="2">
        <v>146.36000000000001</v>
      </c>
      <c r="D253" s="2">
        <v>71.13</v>
      </c>
      <c r="E253">
        <f t="shared" si="9"/>
        <v>-1</v>
      </c>
      <c r="F253">
        <f t="shared" si="10"/>
        <v>-1</v>
      </c>
      <c r="G253">
        <f>(D253-D252)/D252</f>
        <v>-1.3316687473990955E-2</v>
      </c>
    </row>
    <row r="254" spans="1:7" ht="18" x14ac:dyDescent="0.2">
      <c r="B254" s="2"/>
      <c r="D254" t="s">
        <v>16</v>
      </c>
      <c r="E254">
        <f>AVERAGE(E2,E253)</f>
        <v>-0.50375246872942725</v>
      </c>
      <c r="F254">
        <f>AVERAGE(F2,F253)</f>
        <v>-0.49870650968797842</v>
      </c>
      <c r="G254">
        <f t="shared" ref="G254" si="12">AVERAGE(G2,G253)</f>
        <v>-6.2505973325632264E-2</v>
      </c>
    </row>
    <row r="255" spans="1:7" ht="18" x14ac:dyDescent="0.2">
      <c r="B255" s="2"/>
      <c r="D255" t="s">
        <v>9</v>
      </c>
      <c r="E255">
        <f>_xlfn.STDEV.S(E2,E253)</f>
        <v>0.70179998901701057</v>
      </c>
      <c r="F255">
        <f t="shared" ref="F255:G255" si="13">_xlfn.STDEV.S(F2,F253)</f>
        <v>0.7089360527286066</v>
      </c>
      <c r="G255">
        <f t="shared" si="13"/>
        <v>6.9564155174838119E-2</v>
      </c>
    </row>
    <row r="256" spans="1:7" ht="18" x14ac:dyDescent="0.2">
      <c r="B256" s="2"/>
      <c r="D256" t="s">
        <v>17</v>
      </c>
      <c r="E256">
        <f>CORREL(E2:E253,G2:G253)</f>
        <v>0.18756265900701405</v>
      </c>
    </row>
    <row r="257" spans="2:5" ht="18" x14ac:dyDescent="0.2">
      <c r="B257" s="2"/>
      <c r="D257" t="s">
        <v>18</v>
      </c>
      <c r="E257">
        <f>CORREL(F2:F253,G2:G253)</f>
        <v>0.17519962675325915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XOM</vt:lpstr>
      <vt:lpstr>CVX</vt:lpstr>
      <vt:lpstr>USO</vt:lpstr>
      <vt:lpstr>Close1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Navarro, Kurt</dc:creator>
  <cp:lastModifiedBy>Navarro, Kurt</cp:lastModifiedBy>
  <dcterms:created xsi:type="dcterms:W3CDTF">2026-03-06T18:11:24Z</dcterms:created>
  <dcterms:modified xsi:type="dcterms:W3CDTF">2026-09-01T17:31:19Z</dcterms:modified>
</cp:coreProperties>
</file>